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paulo/O Estrategista Dropbox/Paulo Reis/Mac/Downloads/"/>
    </mc:Choice>
  </mc:AlternateContent>
  <xr:revisionPtr revIDLastSave="0" documentId="13_ncr:1_{707FCE46-93BD-864A-A628-99F84466D5B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shboard" sheetId="1" r:id="rId1"/>
    <sheet name="Premissas" sheetId="2" r:id="rId2"/>
    <sheet name="Desconto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L67" i="4"/>
  <c r="L68" i="4"/>
  <c r="K67" i="4"/>
  <c r="K68" i="4"/>
  <c r="C68" i="4"/>
  <c r="B67" i="4"/>
  <c r="B68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A28" i="4"/>
  <c r="A29" i="4"/>
  <c r="A30" i="4"/>
  <c r="A76" i="4" s="1"/>
  <c r="A31" i="4"/>
  <c r="A32" i="4"/>
  <c r="A33" i="4"/>
  <c r="A34" i="4"/>
  <c r="A35" i="4"/>
  <c r="A36" i="4"/>
  <c r="A82" i="4" s="1"/>
  <c r="A37" i="4"/>
  <c r="A38" i="4"/>
  <c r="A39" i="4"/>
  <c r="A40" i="4"/>
  <c r="A41" i="4"/>
  <c r="A42" i="4"/>
  <c r="A43" i="4"/>
  <c r="A44" i="4"/>
  <c r="A45" i="4"/>
  <c r="A46" i="4"/>
  <c r="A47" i="4"/>
  <c r="B5" i="4"/>
  <c r="N51" i="4" s="1"/>
  <c r="B6" i="4"/>
  <c r="N52" i="4" s="1"/>
  <c r="B7" i="4"/>
  <c r="N53" i="4" s="1"/>
  <c r="B8" i="4"/>
  <c r="K54" i="4" s="1"/>
  <c r="B9" i="4"/>
  <c r="M55" i="4" s="1"/>
  <c r="B10" i="4"/>
  <c r="M56" i="4" s="1"/>
  <c r="B11" i="4"/>
  <c r="M57" i="4" s="1"/>
  <c r="B12" i="4"/>
  <c r="J58" i="4" s="1"/>
  <c r="B13" i="4"/>
  <c r="L59" i="4" s="1"/>
  <c r="B14" i="4"/>
  <c r="L60" i="4" s="1"/>
  <c r="B15" i="4"/>
  <c r="L61" i="4" s="1"/>
  <c r="B16" i="4"/>
  <c r="L62" i="4" s="1"/>
  <c r="B17" i="4"/>
  <c r="N63" i="4" s="1"/>
  <c r="B18" i="4"/>
  <c r="N64" i="4" s="1"/>
  <c r="B19" i="4"/>
  <c r="N65" i="4" s="1"/>
  <c r="B20" i="4"/>
  <c r="N66" i="4" s="1"/>
  <c r="B21" i="4"/>
  <c r="M67" i="4" s="1"/>
  <c r="B22" i="4"/>
  <c r="M68" i="4" s="1"/>
  <c r="B23" i="4"/>
  <c r="M69" i="4" s="1"/>
  <c r="B24" i="4"/>
  <c r="J70" i="4" s="1"/>
  <c r="B32" i="1"/>
  <c r="F22" i="1" s="1"/>
  <c r="B30" i="1"/>
  <c r="F21" i="1" s="1"/>
  <c r="B28" i="1"/>
  <c r="F20" i="1" s="1"/>
  <c r="B23" i="1"/>
  <c r="B19" i="1"/>
  <c r="B14" i="1"/>
  <c r="B15" i="1" s="1"/>
  <c r="B11" i="1"/>
  <c r="E19" i="1" s="1"/>
  <c r="B9" i="1"/>
  <c r="B10" i="1" s="1"/>
  <c r="B61" i="4" l="1"/>
  <c r="C67" i="4"/>
  <c r="N61" i="4"/>
  <c r="B62" i="4"/>
  <c r="N60" i="4"/>
  <c r="F55" i="4"/>
  <c r="H61" i="4"/>
  <c r="N54" i="4"/>
  <c r="K62" i="4"/>
  <c r="K61" i="4"/>
  <c r="N56" i="4"/>
  <c r="H56" i="4"/>
  <c r="F56" i="4"/>
  <c r="H55" i="4"/>
  <c r="E58" i="4"/>
  <c r="H70" i="4"/>
  <c r="I70" i="4"/>
  <c r="N59" i="4"/>
  <c r="B60" i="4"/>
  <c r="E56" i="4"/>
  <c r="I68" i="4"/>
  <c r="K60" i="4"/>
  <c r="N57" i="4"/>
  <c r="B59" i="4"/>
  <c r="C55" i="4"/>
  <c r="E55" i="4"/>
  <c r="H67" i="4"/>
  <c r="I67" i="4"/>
  <c r="K59" i="4"/>
  <c r="L55" i="4"/>
  <c r="B12" i="1"/>
  <c r="H13" i="1" s="1"/>
  <c r="B58" i="4"/>
  <c r="E70" i="4"/>
  <c r="F70" i="4"/>
  <c r="H62" i="4"/>
  <c r="I58" i="4"/>
  <c r="K58" i="4"/>
  <c r="M64" i="4"/>
  <c r="N55" i="4"/>
  <c r="E57" i="4"/>
  <c r="I69" i="4"/>
  <c r="L57" i="4"/>
  <c r="C56" i="4"/>
  <c r="H68" i="4"/>
  <c r="L56" i="4"/>
  <c r="F69" i="4"/>
  <c r="B56" i="4"/>
  <c r="E68" i="4"/>
  <c r="H60" i="4"/>
  <c r="I56" i="4"/>
  <c r="K56" i="4"/>
  <c r="N69" i="4"/>
  <c r="B55" i="4"/>
  <c r="E67" i="4"/>
  <c r="F67" i="4"/>
  <c r="H59" i="4"/>
  <c r="I55" i="4"/>
  <c r="K55" i="4"/>
  <c r="B70" i="4"/>
  <c r="C70" i="4"/>
  <c r="E62" i="4"/>
  <c r="F58" i="4"/>
  <c r="H58" i="4"/>
  <c r="K70" i="4"/>
  <c r="L70" i="4"/>
  <c r="N67" i="4"/>
  <c r="E60" i="4"/>
  <c r="E59" i="4"/>
  <c r="C58" i="4"/>
  <c r="L58" i="4"/>
  <c r="C57" i="4"/>
  <c r="H69" i="4"/>
  <c r="N58" i="4"/>
  <c r="B57" i="4"/>
  <c r="E69" i="4"/>
  <c r="I57" i="4"/>
  <c r="K57" i="4"/>
  <c r="N70" i="4"/>
  <c r="F68" i="4"/>
  <c r="N68" i="4"/>
  <c r="B69" i="4"/>
  <c r="C69" i="4"/>
  <c r="E61" i="4"/>
  <c r="F57" i="4"/>
  <c r="H57" i="4"/>
  <c r="K69" i="4"/>
  <c r="L69" i="4"/>
  <c r="N62" i="4"/>
  <c r="D66" i="4"/>
  <c r="D54" i="4"/>
  <c r="G66" i="4"/>
  <c r="G54" i="4"/>
  <c r="J66" i="4"/>
  <c r="J54" i="4"/>
  <c r="M66" i="4"/>
  <c r="M54" i="4"/>
  <c r="D65" i="4"/>
  <c r="D53" i="4"/>
  <c r="G65" i="4"/>
  <c r="G53" i="4"/>
  <c r="J65" i="4"/>
  <c r="J53" i="4"/>
  <c r="M65" i="4"/>
  <c r="M53" i="4"/>
  <c r="D64" i="4"/>
  <c r="D52" i="4"/>
  <c r="G64" i="4"/>
  <c r="G52" i="4"/>
  <c r="J64" i="4"/>
  <c r="J52" i="4"/>
  <c r="M52" i="4"/>
  <c r="L54" i="4"/>
  <c r="C53" i="4"/>
  <c r="F65" i="4"/>
  <c r="M61" i="4"/>
  <c r="F52" i="4"/>
  <c r="L51" i="4"/>
  <c r="D63" i="4"/>
  <c r="D51" i="4"/>
  <c r="G63" i="4"/>
  <c r="G51" i="4"/>
  <c r="J63" i="4"/>
  <c r="J51" i="4"/>
  <c r="M63" i="4"/>
  <c r="M51" i="4"/>
  <c r="C66" i="4"/>
  <c r="C54" i="4"/>
  <c r="D62" i="4"/>
  <c r="F66" i="4"/>
  <c r="F54" i="4"/>
  <c r="G62" i="4"/>
  <c r="I66" i="4"/>
  <c r="I54" i="4"/>
  <c r="J62" i="4"/>
  <c r="L66" i="4"/>
  <c r="M62" i="4"/>
  <c r="C65" i="4"/>
  <c r="D61" i="4"/>
  <c r="F53" i="4"/>
  <c r="G61" i="4"/>
  <c r="I65" i="4"/>
  <c r="I53" i="4"/>
  <c r="J61" i="4"/>
  <c r="L65" i="4"/>
  <c r="L53" i="4"/>
  <c r="C52" i="4"/>
  <c r="F64" i="4"/>
  <c r="G60" i="4"/>
  <c r="I64" i="4"/>
  <c r="I52" i="4"/>
  <c r="J60" i="4"/>
  <c r="L64" i="4"/>
  <c r="L52" i="4"/>
  <c r="M60" i="4"/>
  <c r="F63" i="4"/>
  <c r="F51" i="4"/>
  <c r="G59" i="4"/>
  <c r="I51" i="4"/>
  <c r="M58" i="4"/>
  <c r="B65" i="4"/>
  <c r="B53" i="4"/>
  <c r="C61" i="4"/>
  <c r="D69" i="4"/>
  <c r="D57" i="4"/>
  <c r="E65" i="4"/>
  <c r="E53" i="4"/>
  <c r="F61" i="4"/>
  <c r="G69" i="4"/>
  <c r="G57" i="4"/>
  <c r="H65" i="4"/>
  <c r="H53" i="4"/>
  <c r="I61" i="4"/>
  <c r="J69" i="4"/>
  <c r="J57" i="4"/>
  <c r="K65" i="4"/>
  <c r="K53" i="4"/>
  <c r="C64" i="4"/>
  <c r="D60" i="4"/>
  <c r="I63" i="4"/>
  <c r="L63" i="4"/>
  <c r="M59" i="4"/>
  <c r="M70" i="4"/>
  <c r="B64" i="4"/>
  <c r="B52" i="4"/>
  <c r="C60" i="4"/>
  <c r="D68" i="4"/>
  <c r="D56" i="4"/>
  <c r="E64" i="4"/>
  <c r="E52" i="4"/>
  <c r="F60" i="4"/>
  <c r="G68" i="4"/>
  <c r="G56" i="4"/>
  <c r="H64" i="4"/>
  <c r="H52" i="4"/>
  <c r="I60" i="4"/>
  <c r="J68" i="4"/>
  <c r="J56" i="4"/>
  <c r="K64" i="4"/>
  <c r="K52" i="4"/>
  <c r="C63" i="4"/>
  <c r="C51" i="4"/>
  <c r="D59" i="4"/>
  <c r="J59" i="4"/>
  <c r="B66" i="4"/>
  <c r="B54" i="4"/>
  <c r="C62" i="4"/>
  <c r="D70" i="4"/>
  <c r="D58" i="4"/>
  <c r="E66" i="4"/>
  <c r="E54" i="4"/>
  <c r="F62" i="4"/>
  <c r="G70" i="4"/>
  <c r="G58" i="4"/>
  <c r="H66" i="4"/>
  <c r="H54" i="4"/>
  <c r="I62" i="4"/>
  <c r="K66" i="4"/>
  <c r="B63" i="4"/>
  <c r="B51" i="4"/>
  <c r="C59" i="4"/>
  <c r="D67" i="4"/>
  <c r="D55" i="4"/>
  <c r="E63" i="4"/>
  <c r="E51" i="4"/>
  <c r="F59" i="4"/>
  <c r="G67" i="4"/>
  <c r="G55" i="4"/>
  <c r="H63" i="4"/>
  <c r="H51" i="4"/>
  <c r="I59" i="4"/>
  <c r="J67" i="4"/>
  <c r="J55" i="4"/>
  <c r="K63" i="4"/>
  <c r="K51" i="4"/>
  <c r="E18" i="1"/>
  <c r="B41" i="1"/>
  <c r="B16" i="1"/>
  <c r="B25" i="1" s="1"/>
  <c r="B39" i="1"/>
  <c r="A84" i="4"/>
  <c r="A86" i="4"/>
  <c r="A90" i="4"/>
  <c r="A78" i="4"/>
  <c r="A87" i="4"/>
  <c r="A75" i="4"/>
  <c r="A81" i="4"/>
  <c r="A77" i="4"/>
  <c r="A79" i="4"/>
  <c r="A83" i="4"/>
  <c r="A85" i="4"/>
  <c r="A89" i="4"/>
  <c r="A91" i="4"/>
  <c r="A93" i="4"/>
  <c r="A74" i="4"/>
  <c r="A80" i="4"/>
  <c r="A88" i="4"/>
  <c r="A92" i="4"/>
  <c r="F9" i="1" l="1"/>
  <c r="E24" i="1"/>
  <c r="E20" i="1"/>
  <c r="E22" i="1"/>
  <c r="E21" i="1"/>
  <c r="B20" i="1"/>
  <c r="B22" i="1" s="1"/>
  <c r="B17" i="1"/>
  <c r="B24" i="1" s="1"/>
  <c r="H9" i="1" l="1"/>
  <c r="D9" i="1"/>
  <c r="E23" i="1"/>
  <c r="F18" i="1"/>
  <c r="F19" i="1"/>
  <c r="B29" i="1"/>
  <c r="B33" i="1"/>
  <c r="B31" i="1"/>
  <c r="O46" i="4"/>
  <c r="P46" i="4" s="1"/>
  <c r="L46" i="4"/>
  <c r="I46" i="4"/>
  <c r="F46" i="4"/>
  <c r="C46" i="4"/>
  <c r="J46" i="4"/>
  <c r="N46" i="4"/>
  <c r="H46" i="4"/>
  <c r="K46" i="4"/>
  <c r="D46" i="4"/>
  <c r="M46" i="4"/>
  <c r="G46" i="4"/>
  <c r="E46" i="4"/>
  <c r="I32" i="4"/>
  <c r="O32" i="4"/>
  <c r="L32" i="4"/>
  <c r="F32" i="4"/>
  <c r="M32" i="4"/>
  <c r="J32" i="4"/>
  <c r="G32" i="4"/>
  <c r="D32" i="4"/>
  <c r="P32" i="4"/>
  <c r="H32" i="4"/>
  <c r="K32" i="4"/>
  <c r="C32" i="4"/>
  <c r="E32" i="4"/>
  <c r="N32" i="4"/>
  <c r="O33" i="4"/>
  <c r="L33" i="4"/>
  <c r="I33" i="4"/>
  <c r="F33" i="4"/>
  <c r="C33" i="4"/>
  <c r="P33" i="4"/>
  <c r="J33" i="4"/>
  <c r="M33" i="4"/>
  <c r="E33" i="4"/>
  <c r="N33" i="4"/>
  <c r="D33" i="4"/>
  <c r="K33" i="4"/>
  <c r="G33" i="4"/>
  <c r="H33" i="4"/>
  <c r="N41" i="4"/>
  <c r="K41" i="4"/>
  <c r="H41" i="4"/>
  <c r="E41" i="4"/>
  <c r="L41" i="4"/>
  <c r="P41" i="4"/>
  <c r="C41" i="4"/>
  <c r="G41" i="4"/>
  <c r="M41" i="4"/>
  <c r="F41" i="4"/>
  <c r="D41" i="4"/>
  <c r="O41" i="4"/>
  <c r="I41" i="4"/>
  <c r="J41" i="4"/>
  <c r="O45" i="4"/>
  <c r="L45" i="4"/>
  <c r="I45" i="4"/>
  <c r="F45" i="4"/>
  <c r="C45" i="4"/>
  <c r="M45" i="4"/>
  <c r="G45" i="4"/>
  <c r="E45" i="4"/>
  <c r="J45" i="4"/>
  <c r="K45" i="4"/>
  <c r="N45" i="4"/>
  <c r="H45" i="4"/>
  <c r="D45" i="4"/>
  <c r="M39" i="4"/>
  <c r="J39" i="4"/>
  <c r="G39" i="4"/>
  <c r="D39" i="4"/>
  <c r="O39" i="4"/>
  <c r="P39" i="4" s="1"/>
  <c r="L39" i="4"/>
  <c r="I39" i="4"/>
  <c r="H39" i="4"/>
  <c r="F39" i="4"/>
  <c r="N39" i="4"/>
  <c r="K39" i="4"/>
  <c r="E39" i="4"/>
  <c r="C39" i="4"/>
  <c r="N31" i="4"/>
  <c r="K31" i="4"/>
  <c r="H31" i="4"/>
  <c r="E31" i="4"/>
  <c r="M31" i="4"/>
  <c r="J31" i="4"/>
  <c r="O31" i="4"/>
  <c r="P31" i="4"/>
  <c r="L31" i="4"/>
  <c r="D31" i="4"/>
  <c r="C31" i="4"/>
  <c r="I31" i="4"/>
  <c r="F31" i="4"/>
  <c r="G31" i="4"/>
  <c r="O47" i="4"/>
  <c r="P47" i="4" s="1"/>
  <c r="L47" i="4"/>
  <c r="I47" i="4"/>
  <c r="F47" i="4"/>
  <c r="C47" i="4"/>
  <c r="N47" i="4"/>
  <c r="K47" i="4"/>
  <c r="H47" i="4"/>
  <c r="J47" i="4"/>
  <c r="G47" i="4"/>
  <c r="E47" i="4"/>
  <c r="M47" i="4"/>
  <c r="D47" i="4"/>
  <c r="M38" i="4"/>
  <c r="J38" i="4"/>
  <c r="G38" i="4"/>
  <c r="D38" i="4"/>
  <c r="F38" i="4"/>
  <c r="H38" i="4"/>
  <c r="I38" i="4"/>
  <c r="L38" i="4"/>
  <c r="C38" i="4"/>
  <c r="N38" i="4"/>
  <c r="O38" i="4"/>
  <c r="P38" i="4" s="1"/>
  <c r="E38" i="4"/>
  <c r="K38" i="4"/>
  <c r="L44" i="4"/>
  <c r="F44" i="4"/>
  <c r="I44" i="4"/>
  <c r="C44" i="4"/>
  <c r="O44" i="4"/>
  <c r="M44" i="4"/>
  <c r="J44" i="4"/>
  <c r="G44" i="4"/>
  <c r="D44" i="4"/>
  <c r="K44" i="4"/>
  <c r="E44" i="4"/>
  <c r="N44" i="4"/>
  <c r="H44" i="4"/>
  <c r="N16" i="4"/>
  <c r="Q16" i="4" s="1"/>
  <c r="K16" i="4"/>
  <c r="H16" i="4"/>
  <c r="I16" i="4"/>
  <c r="F16" i="4"/>
  <c r="L16" i="4"/>
  <c r="G16" i="4"/>
  <c r="M16" i="4"/>
  <c r="J16" i="4"/>
  <c r="K23" i="4"/>
  <c r="M23" i="4"/>
  <c r="J23" i="4"/>
  <c r="G23" i="4"/>
  <c r="H23" i="4"/>
  <c r="N23" i="4"/>
  <c r="Q23" i="4" s="1"/>
  <c r="L23" i="4"/>
  <c r="I23" i="4"/>
  <c r="F23" i="4"/>
  <c r="J21" i="4"/>
  <c r="G21" i="4"/>
  <c r="N21" i="4"/>
  <c r="Q21" i="4" s="1"/>
  <c r="K21" i="4"/>
  <c r="M21" i="4"/>
  <c r="H21" i="4"/>
  <c r="L21" i="4"/>
  <c r="I21" i="4"/>
  <c r="F21" i="4"/>
  <c r="M9" i="4"/>
  <c r="G9" i="4"/>
  <c r="J9" i="4"/>
  <c r="K9" i="4"/>
  <c r="H9" i="4"/>
  <c r="N9" i="4"/>
  <c r="Q9" i="4" s="1"/>
  <c r="L9" i="4"/>
  <c r="I9" i="4"/>
  <c r="F9" i="4"/>
  <c r="N10" i="4"/>
  <c r="Q10" i="4" s="1"/>
  <c r="H10" i="4"/>
  <c r="M10" i="4"/>
  <c r="J10" i="4"/>
  <c r="G10" i="4"/>
  <c r="K10" i="4"/>
  <c r="L10" i="4"/>
  <c r="I10" i="4"/>
  <c r="F10" i="4"/>
  <c r="M24" i="4"/>
  <c r="J24" i="4"/>
  <c r="G24" i="4"/>
  <c r="N24" i="4"/>
  <c r="Q24" i="4" s="1"/>
  <c r="K24" i="4"/>
  <c r="H24" i="4"/>
  <c r="L24" i="4"/>
  <c r="I24" i="4"/>
  <c r="F24" i="4"/>
  <c r="K22" i="4"/>
  <c r="H22" i="4"/>
  <c r="M22" i="4"/>
  <c r="J22" i="4"/>
  <c r="G22" i="4"/>
  <c r="N22" i="4"/>
  <c r="Q22" i="4" s="1"/>
  <c r="L22" i="4"/>
  <c r="I22" i="4"/>
  <c r="F22" i="4"/>
  <c r="E18" i="4"/>
  <c r="E8" i="4"/>
  <c r="E24" i="4"/>
  <c r="D24" i="4"/>
  <c r="C24" i="4"/>
  <c r="E10" i="4"/>
  <c r="D10" i="4"/>
  <c r="C10" i="4"/>
  <c r="Q46" i="4"/>
  <c r="E22" i="4"/>
  <c r="D22" i="4"/>
  <c r="C22" i="4"/>
  <c r="D23" i="4"/>
  <c r="C23" i="4"/>
  <c r="E23" i="4"/>
  <c r="E16" i="4"/>
  <c r="D16" i="4"/>
  <c r="C16" i="4"/>
  <c r="D9" i="4"/>
  <c r="C9" i="4"/>
  <c r="E9" i="4"/>
  <c r="D21" i="4"/>
  <c r="C21" i="4"/>
  <c r="E21" i="4"/>
  <c r="F23" i="1" l="1"/>
  <c r="B34" i="1"/>
  <c r="Q43" i="4"/>
  <c r="N43" i="4"/>
  <c r="K43" i="4"/>
  <c r="H43" i="4"/>
  <c r="E43" i="4"/>
  <c r="M43" i="4"/>
  <c r="J43" i="4"/>
  <c r="F43" i="4"/>
  <c r="D43" i="4"/>
  <c r="O43" i="4"/>
  <c r="G43" i="4"/>
  <c r="I43" i="4"/>
  <c r="L43" i="4"/>
  <c r="C43" i="4"/>
  <c r="Q40" i="4"/>
  <c r="N40" i="4"/>
  <c r="K40" i="4"/>
  <c r="E40" i="4"/>
  <c r="H40" i="4"/>
  <c r="O40" i="4"/>
  <c r="P40" i="4" s="1"/>
  <c r="L40" i="4"/>
  <c r="I40" i="4"/>
  <c r="F40" i="4"/>
  <c r="C40" i="4"/>
  <c r="D40" i="4"/>
  <c r="M40" i="4"/>
  <c r="G40" i="4"/>
  <c r="J40" i="4"/>
  <c r="Q36" i="4"/>
  <c r="M36" i="4"/>
  <c r="J36" i="4"/>
  <c r="G36" i="4"/>
  <c r="D36" i="4"/>
  <c r="N36" i="4"/>
  <c r="K36" i="4"/>
  <c r="H36" i="4"/>
  <c r="E36" i="4"/>
  <c r="L36" i="4"/>
  <c r="C36" i="4"/>
  <c r="O36" i="4"/>
  <c r="F36" i="4"/>
  <c r="I36" i="4"/>
  <c r="Q47" i="4"/>
  <c r="Q28" i="4"/>
  <c r="E28" i="4"/>
  <c r="K28" i="4"/>
  <c r="H28" i="4"/>
  <c r="N28" i="4"/>
  <c r="O28" i="4"/>
  <c r="L28" i="4"/>
  <c r="I28" i="4"/>
  <c r="F28" i="4"/>
  <c r="C28" i="4"/>
  <c r="B74" i="4" s="1"/>
  <c r="P28" i="4"/>
  <c r="J28" i="4"/>
  <c r="M28" i="4"/>
  <c r="D28" i="4"/>
  <c r="G28" i="4"/>
  <c r="Q37" i="4"/>
  <c r="M37" i="4"/>
  <c r="J37" i="4"/>
  <c r="G37" i="4"/>
  <c r="D37" i="4"/>
  <c r="K37" i="4"/>
  <c r="F37" i="4"/>
  <c r="I37" i="4"/>
  <c r="E37" i="4"/>
  <c r="C37" i="4"/>
  <c r="L37" i="4"/>
  <c r="N37" i="4"/>
  <c r="H37" i="4"/>
  <c r="O37" i="4"/>
  <c r="P37" i="4" s="1"/>
  <c r="Q41" i="4"/>
  <c r="Q39" i="4"/>
  <c r="N42" i="4"/>
  <c r="K42" i="4"/>
  <c r="H42" i="4"/>
  <c r="E42" i="4"/>
  <c r="C42" i="4"/>
  <c r="O42" i="4"/>
  <c r="P42" i="4" s="1"/>
  <c r="M42" i="4"/>
  <c r="F42" i="4"/>
  <c r="D42" i="4"/>
  <c r="I42" i="4"/>
  <c r="G42" i="4"/>
  <c r="J42" i="4"/>
  <c r="L42" i="4"/>
  <c r="Q38" i="4"/>
  <c r="P44" i="4"/>
  <c r="P45" i="4"/>
  <c r="Q35" i="4"/>
  <c r="O35" i="4"/>
  <c r="L35" i="4"/>
  <c r="I35" i="4"/>
  <c r="F35" i="4"/>
  <c r="C35" i="4"/>
  <c r="N35" i="4"/>
  <c r="K35" i="4"/>
  <c r="H35" i="4"/>
  <c r="M35" i="4"/>
  <c r="D35" i="4"/>
  <c r="G35" i="4"/>
  <c r="E35" i="4"/>
  <c r="J35" i="4"/>
  <c r="P35" i="4"/>
  <c r="Q34" i="4"/>
  <c r="O34" i="4"/>
  <c r="L34" i="4"/>
  <c r="I34" i="4"/>
  <c r="F34" i="4"/>
  <c r="C34" i="4"/>
  <c r="G34" i="4"/>
  <c r="N34" i="4"/>
  <c r="K34" i="4"/>
  <c r="D34" i="4"/>
  <c r="H34" i="4"/>
  <c r="M34" i="4"/>
  <c r="E34" i="4"/>
  <c r="J34" i="4"/>
  <c r="N29" i="4"/>
  <c r="K29" i="4"/>
  <c r="H29" i="4"/>
  <c r="E29" i="4"/>
  <c r="O29" i="4"/>
  <c r="P29" i="4" s="1"/>
  <c r="I29" i="4"/>
  <c r="C29" i="4"/>
  <c r="J29" i="4"/>
  <c r="M29" i="4"/>
  <c r="F29" i="4"/>
  <c r="D29" i="4"/>
  <c r="L29" i="4"/>
  <c r="G29" i="4"/>
  <c r="Q45" i="4"/>
  <c r="Q33" i="4"/>
  <c r="Q30" i="4"/>
  <c r="N30" i="4"/>
  <c r="K30" i="4"/>
  <c r="J76" i="4" s="1"/>
  <c r="H30" i="4"/>
  <c r="E30" i="4"/>
  <c r="F30" i="4"/>
  <c r="C30" i="4"/>
  <c r="G30" i="4"/>
  <c r="J30" i="4"/>
  <c r="L30" i="4"/>
  <c r="M30" i="4"/>
  <c r="D30" i="4"/>
  <c r="I30" i="4"/>
  <c r="O30" i="4"/>
  <c r="I90" i="4"/>
  <c r="Q42" i="4"/>
  <c r="D8" i="4"/>
  <c r="C18" i="4"/>
  <c r="D18" i="4"/>
  <c r="Q32" i="4"/>
  <c r="Q31" i="4"/>
  <c r="J7" i="4"/>
  <c r="L7" i="4"/>
  <c r="I7" i="4"/>
  <c r="F7" i="4"/>
  <c r="G7" i="4"/>
  <c r="M7" i="4"/>
  <c r="N7" i="4"/>
  <c r="Q7" i="4" s="1"/>
  <c r="K7" i="4"/>
  <c r="H7" i="4"/>
  <c r="N13" i="4"/>
  <c r="Q13" i="4" s="1"/>
  <c r="L13" i="4"/>
  <c r="K13" i="4"/>
  <c r="I13" i="4"/>
  <c r="H13" i="4"/>
  <c r="F13" i="4"/>
  <c r="M13" i="4"/>
  <c r="J13" i="4"/>
  <c r="G13" i="4"/>
  <c r="D15" i="4"/>
  <c r="N15" i="4"/>
  <c r="Q15" i="4" s="1"/>
  <c r="K15" i="4"/>
  <c r="H15" i="4"/>
  <c r="L15" i="4"/>
  <c r="I15" i="4"/>
  <c r="F15" i="4"/>
  <c r="M15" i="4"/>
  <c r="J15" i="4"/>
  <c r="G15" i="4"/>
  <c r="Q44" i="4"/>
  <c r="Q29" i="4"/>
  <c r="L17" i="4"/>
  <c r="I17" i="4"/>
  <c r="J17" i="4"/>
  <c r="F17" i="4"/>
  <c r="M17" i="4"/>
  <c r="G17" i="4"/>
  <c r="N17" i="4"/>
  <c r="Q17" i="4" s="1"/>
  <c r="K17" i="4"/>
  <c r="H17" i="4"/>
  <c r="M18" i="4"/>
  <c r="J18" i="4"/>
  <c r="L18" i="4"/>
  <c r="I18" i="4"/>
  <c r="F18" i="4"/>
  <c r="G18" i="4"/>
  <c r="N18" i="4"/>
  <c r="Q18" i="4" s="1"/>
  <c r="K18" i="4"/>
  <c r="H18" i="4"/>
  <c r="L19" i="4"/>
  <c r="I19" i="4"/>
  <c r="F19" i="4"/>
  <c r="M19" i="4"/>
  <c r="J19" i="4"/>
  <c r="G19" i="4"/>
  <c r="H19" i="4"/>
  <c r="N19" i="4"/>
  <c r="Q19" i="4" s="1"/>
  <c r="K19" i="4"/>
  <c r="F14" i="4"/>
  <c r="L14" i="4"/>
  <c r="N14" i="4"/>
  <c r="Q14" i="4" s="1"/>
  <c r="K14" i="4"/>
  <c r="H14" i="4"/>
  <c r="I14" i="4"/>
  <c r="M14" i="4"/>
  <c r="J14" i="4"/>
  <c r="G14" i="4"/>
  <c r="C15" i="4"/>
  <c r="J6" i="4"/>
  <c r="G6" i="4"/>
  <c r="L6" i="4"/>
  <c r="I6" i="4"/>
  <c r="F6" i="4"/>
  <c r="M6" i="4"/>
  <c r="N6" i="4"/>
  <c r="Q6" i="4" s="1"/>
  <c r="K6" i="4"/>
  <c r="H6" i="4"/>
  <c r="H11" i="4"/>
  <c r="M11" i="4"/>
  <c r="J11" i="4"/>
  <c r="G11" i="4"/>
  <c r="N11" i="4"/>
  <c r="Q11" i="4" s="1"/>
  <c r="K11" i="4"/>
  <c r="L11" i="4"/>
  <c r="I11" i="4"/>
  <c r="F11" i="4"/>
  <c r="M12" i="4"/>
  <c r="J12" i="4"/>
  <c r="G12" i="4"/>
  <c r="K12" i="4"/>
  <c r="L12" i="4"/>
  <c r="I12" i="4"/>
  <c r="N12" i="4"/>
  <c r="Q12" i="4" s="1"/>
  <c r="H12" i="4"/>
  <c r="F12" i="4"/>
  <c r="E15" i="4"/>
  <c r="I5" i="4"/>
  <c r="F5" i="4"/>
  <c r="J5" i="4"/>
  <c r="M5" i="4"/>
  <c r="G5" i="4"/>
  <c r="L5" i="4"/>
  <c r="N5" i="4"/>
  <c r="Q5" i="4" s="1"/>
  <c r="K5" i="4"/>
  <c r="H5" i="4"/>
  <c r="L20" i="4"/>
  <c r="I20" i="4"/>
  <c r="F20" i="4"/>
  <c r="G20" i="4"/>
  <c r="J20" i="4"/>
  <c r="M20" i="4"/>
  <c r="H20" i="4"/>
  <c r="N20" i="4"/>
  <c r="Q20" i="4" s="1"/>
  <c r="K20" i="4"/>
  <c r="C8" i="4"/>
  <c r="L8" i="4"/>
  <c r="I8" i="4"/>
  <c r="F8" i="4"/>
  <c r="M8" i="4"/>
  <c r="G8" i="4"/>
  <c r="K8" i="4"/>
  <c r="H8" i="4"/>
  <c r="J8" i="4"/>
  <c r="N8" i="4"/>
  <c r="Q8" i="4" s="1"/>
  <c r="E20" i="4"/>
  <c r="D20" i="4"/>
  <c r="C20" i="4"/>
  <c r="D5" i="4"/>
  <c r="C5" i="4"/>
  <c r="E5" i="4"/>
  <c r="E14" i="4"/>
  <c r="D14" i="4"/>
  <c r="C14" i="4"/>
  <c r="D19" i="4"/>
  <c r="C19" i="4"/>
  <c r="E19" i="4"/>
  <c r="D7" i="4"/>
  <c r="C7" i="4"/>
  <c r="E7" i="4"/>
  <c r="D13" i="4"/>
  <c r="C13" i="4"/>
  <c r="E13" i="4"/>
  <c r="D17" i="4"/>
  <c r="C17" i="4"/>
  <c r="E17" i="4"/>
  <c r="D11" i="4"/>
  <c r="C11" i="4"/>
  <c r="E11" i="4"/>
  <c r="E12" i="4"/>
  <c r="D12" i="4"/>
  <c r="C12" i="4"/>
  <c r="E6" i="4"/>
  <c r="D6" i="4"/>
  <c r="C6" i="4"/>
  <c r="L90" i="4" l="1"/>
  <c r="D91" i="4"/>
  <c r="K77" i="4"/>
  <c r="E75" i="4"/>
  <c r="K84" i="4"/>
  <c r="G76" i="4"/>
  <c r="B36" i="1"/>
  <c r="N76" i="4"/>
  <c r="I92" i="4"/>
  <c r="N77" i="4"/>
  <c r="E78" i="4"/>
  <c r="F88" i="4"/>
  <c r="N87" i="4"/>
  <c r="I91" i="4"/>
  <c r="H88" i="4"/>
  <c r="I84" i="4"/>
  <c r="F81" i="4"/>
  <c r="L92" i="4"/>
  <c r="C88" i="4"/>
  <c r="J93" i="4"/>
  <c r="G83" i="4"/>
  <c r="B90" i="4"/>
  <c r="J86" i="4"/>
  <c r="L84" i="4"/>
  <c r="G79" i="4"/>
  <c r="E93" i="4"/>
  <c r="C81" i="4"/>
  <c r="B85" i="4"/>
  <c r="C92" i="4"/>
  <c r="M83" i="4"/>
  <c r="I86" i="4"/>
  <c r="M86" i="4"/>
  <c r="D81" i="4"/>
  <c r="K91" i="4"/>
  <c r="K83" i="4"/>
  <c r="K82" i="4"/>
  <c r="B80" i="4"/>
  <c r="D82" i="4"/>
  <c r="F89" i="4"/>
  <c r="D78" i="4"/>
  <c r="K75" i="4"/>
  <c r="M75" i="4"/>
  <c r="E80" i="4"/>
  <c r="B84" i="4"/>
  <c r="C79" i="4"/>
  <c r="N89" i="4"/>
  <c r="M90" i="4"/>
  <c r="D93" i="4"/>
  <c r="N92" i="4"/>
  <c r="D76" i="4"/>
  <c r="C75" i="4"/>
  <c r="J92" i="4"/>
  <c r="H80" i="4"/>
  <c r="F90" i="4"/>
  <c r="L87" i="4"/>
  <c r="I74" i="4"/>
  <c r="E91" i="4"/>
  <c r="F86" i="4"/>
  <c r="F92" i="4"/>
  <c r="L75" i="4"/>
  <c r="E88" i="4"/>
  <c r="B83" i="4"/>
  <c r="E85" i="4"/>
  <c r="L86" i="4"/>
  <c r="J78" i="4"/>
  <c r="D80" i="4"/>
  <c r="N80" i="4"/>
  <c r="G81" i="4"/>
  <c r="D92" i="4"/>
  <c r="D77" i="4"/>
  <c r="L88" i="4"/>
  <c r="H79" i="4"/>
  <c r="K87" i="4"/>
  <c r="G77" i="4"/>
  <c r="D83" i="4"/>
  <c r="H90" i="4"/>
  <c r="H74" i="4"/>
  <c r="F91" i="4"/>
  <c r="E90" i="4"/>
  <c r="M82" i="4"/>
  <c r="C86" i="4"/>
  <c r="I79" i="4"/>
  <c r="I89" i="4"/>
  <c r="D79" i="4"/>
  <c r="L76" i="4"/>
  <c r="N78" i="4"/>
  <c r="G85" i="4"/>
  <c r="L80" i="4"/>
  <c r="J81" i="4"/>
  <c r="B78" i="4"/>
  <c r="J91" i="4"/>
  <c r="B77" i="4"/>
  <c r="N93" i="4"/>
  <c r="M87" i="4"/>
  <c r="H83" i="4"/>
  <c r="D87" i="4"/>
  <c r="K74" i="4"/>
  <c r="K93" i="4"/>
  <c r="B79" i="4"/>
  <c r="C82" i="4"/>
  <c r="B86" i="4"/>
  <c r="D85" i="4"/>
  <c r="L89" i="4"/>
  <c r="K85" i="4"/>
  <c r="F78" i="4"/>
  <c r="G82" i="4"/>
  <c r="M76" i="4"/>
  <c r="K80" i="4"/>
  <c r="M78" i="4"/>
  <c r="L91" i="4"/>
  <c r="G91" i="4"/>
  <c r="J82" i="4"/>
  <c r="I75" i="4"/>
  <c r="K76" i="4"/>
  <c r="G80" i="4"/>
  <c r="N90" i="4"/>
  <c r="H87" i="4"/>
  <c r="C77" i="4"/>
  <c r="L77" i="4"/>
  <c r="G78" i="4"/>
  <c r="N84" i="4"/>
  <c r="J87" i="4"/>
  <c r="B81" i="4"/>
  <c r="N79" i="4"/>
  <c r="L79" i="4"/>
  <c r="B93" i="4"/>
  <c r="H91" i="4"/>
  <c r="K79" i="4"/>
  <c r="H86" i="4"/>
  <c r="K78" i="4"/>
  <c r="I87" i="4"/>
  <c r="E81" i="4"/>
  <c r="M91" i="4"/>
  <c r="G74" i="4"/>
  <c r="L82" i="4"/>
  <c r="K86" i="4"/>
  <c r="M77" i="4"/>
  <c r="F76" i="4"/>
  <c r="C87" i="4"/>
  <c r="M93" i="4"/>
  <c r="D75" i="4"/>
  <c r="M80" i="4"/>
  <c r="G84" i="4"/>
  <c r="H81" i="4"/>
  <c r="C85" i="4"/>
  <c r="D84" i="4"/>
  <c r="G88" i="4"/>
  <c r="C84" i="4"/>
  <c r="H84" i="4"/>
  <c r="E87" i="4"/>
  <c r="G92" i="4"/>
  <c r="F83" i="4"/>
  <c r="F74" i="4"/>
  <c r="J74" i="4"/>
  <c r="J84" i="4"/>
  <c r="N82" i="4"/>
  <c r="N86" i="4"/>
  <c r="K89" i="4"/>
  <c r="M89" i="4"/>
  <c r="E92" i="4"/>
  <c r="E79" i="4"/>
  <c r="C89" i="4"/>
  <c r="L81" i="4"/>
  <c r="D90" i="4"/>
  <c r="I77" i="4"/>
  <c r="J79" i="4"/>
  <c r="M92" i="4"/>
  <c r="N85" i="4"/>
  <c r="B75" i="4"/>
  <c r="M81" i="4"/>
  <c r="N88" i="4"/>
  <c r="L93" i="4"/>
  <c r="N74" i="4"/>
  <c r="M85" i="4"/>
  <c r="E86" i="4"/>
  <c r="I76" i="4"/>
  <c r="C80" i="4"/>
  <c r="B88" i="4"/>
  <c r="J83" i="4"/>
  <c r="H82" i="4"/>
  <c r="G89" i="4"/>
  <c r="F85" i="4"/>
  <c r="N75" i="4"/>
  <c r="L85" i="4"/>
  <c r="D88" i="4"/>
  <c r="C90" i="4"/>
  <c r="I93" i="4"/>
  <c r="E82" i="4"/>
  <c r="B89" i="4"/>
  <c r="E77" i="4"/>
  <c r="B76" i="4"/>
  <c r="H93" i="4"/>
  <c r="G75" i="4"/>
  <c r="F80" i="4"/>
  <c r="K81" i="4"/>
  <c r="J77" i="4"/>
  <c r="K88" i="4"/>
  <c r="J88" i="4"/>
  <c r="G87" i="4"/>
  <c r="H92" i="4"/>
  <c r="C93" i="4"/>
  <c r="G90" i="4"/>
  <c r="I83" i="4"/>
  <c r="C74" i="4"/>
  <c r="D74" i="4"/>
  <c r="P36" i="4"/>
  <c r="C78" i="4"/>
  <c r="G86" i="4"/>
  <c r="P43" i="4"/>
  <c r="H76" i="4"/>
  <c r="I80" i="4"/>
  <c r="K92" i="4"/>
  <c r="G93" i="4"/>
  <c r="E74" i="4"/>
  <c r="E89" i="4"/>
  <c r="C76" i="4"/>
  <c r="B87" i="4"/>
  <c r="K90" i="4"/>
  <c r="C91" i="4"/>
  <c r="M79" i="4"/>
  <c r="F84" i="4"/>
  <c r="E83" i="4"/>
  <c r="F82" i="4"/>
  <c r="D89" i="4"/>
  <c r="B91" i="4"/>
  <c r="H75" i="4"/>
  <c r="E84" i="4"/>
  <c r="F87" i="4"/>
  <c r="I78" i="4"/>
  <c r="M84" i="4"/>
  <c r="M74" i="4"/>
  <c r="I82" i="4"/>
  <c r="H77" i="4"/>
  <c r="P30" i="4"/>
  <c r="J80" i="4"/>
  <c r="I85" i="4"/>
  <c r="C83" i="4"/>
  <c r="H85" i="4"/>
  <c r="J89" i="4"/>
  <c r="F93" i="4"/>
  <c r="E76" i="4"/>
  <c r="J90" i="4"/>
  <c r="F75" i="4"/>
  <c r="J75" i="4"/>
  <c r="P34" i="4"/>
  <c r="I81" i="4"/>
  <c r="N81" i="4"/>
  <c r="F77" i="4"/>
  <c r="I88" i="4"/>
  <c r="M88" i="4"/>
  <c r="N91" i="4"/>
  <c r="H78" i="4"/>
  <c r="B92" i="4"/>
  <c r="N83" i="4"/>
  <c r="L83" i="4"/>
  <c r="L74" i="4"/>
  <c r="L78" i="4"/>
  <c r="B82" i="4"/>
  <c r="J85" i="4"/>
  <c r="D86" i="4"/>
  <c r="H89" i="4"/>
  <c r="F79" i="4"/>
  <c r="B37" i="1" l="1"/>
  <c r="D13" i="1" s="1"/>
  <c r="B38" i="1" l="1"/>
  <c r="F13" i="1" s="1"/>
  <c r="B40" i="1"/>
</calcChain>
</file>

<file path=xl/sharedStrings.xml><?xml version="1.0" encoding="utf-8"?>
<sst xmlns="http://schemas.openxmlformats.org/spreadsheetml/2006/main" count="158" uniqueCount="151">
  <si>
    <t>Volume</t>
  </si>
  <si>
    <t>4 semanas</t>
  </si>
  <si>
    <t>8 semanas</t>
  </si>
  <si>
    <t>12 semanas</t>
  </si>
  <si>
    <t>16 semanas</t>
  </si>
  <si>
    <t>8 sem</t>
  </si>
  <si>
    <t>12 sem</t>
  </si>
  <si>
    <t>16 sem</t>
  </si>
  <si>
    <t>PREMISSAS VEXA</t>
  </si>
  <si>
    <t>IMPOSTOS E COMISSÕES</t>
  </si>
  <si>
    <t>IRPJ</t>
  </si>
  <si>
    <t>Comissão Restaurante</t>
  </si>
  <si>
    <t>Comissão Comercial</t>
  </si>
  <si>
    <t>DESCONTOS POR PRAZO</t>
  </si>
  <si>
    <t>Desc. 8 semanas</t>
  </si>
  <si>
    <t>Desc. 12 semanas</t>
  </si>
  <si>
    <t>Desc. 16 semanas</t>
  </si>
  <si>
    <t>Desc. 20 semanas</t>
  </si>
  <si>
    <t>Desc. 24 semanas</t>
  </si>
  <si>
    <t>Desc. 28 semanas</t>
  </si>
  <si>
    <t>Desc. 32 semanas</t>
  </si>
  <si>
    <t>Desc. 36 semanas</t>
  </si>
  <si>
    <t>Desc. 40 semanas</t>
  </si>
  <si>
    <t>Desc. 44 semanas</t>
  </si>
  <si>
    <t>Desc. 48 semanas</t>
  </si>
  <si>
    <t>Desc. 52 semanas</t>
  </si>
  <si>
    <t>DESCONTOS POR QUANTIDADE</t>
  </si>
  <si>
    <t>5.000 - 9.999 un.</t>
  </si>
  <si>
    <t>10.000 - 14.999 un.</t>
  </si>
  <si>
    <t>15.000 - 19.999 un.</t>
  </si>
  <si>
    <t>20.000+ un.</t>
  </si>
  <si>
    <t>CUSTOS POR FAIXA DE VOLUME</t>
  </si>
  <si>
    <t>Custo GPC Unit. (R$)</t>
  </si>
  <si>
    <t>Margem Alvo</t>
  </si>
  <si>
    <t>Frete (R$)</t>
  </si>
  <si>
    <t>Artes</t>
  </si>
  <si>
    <t>INPUTS</t>
  </si>
  <si>
    <t>Denominador</t>
  </si>
  <si>
    <t>TABELA DE DESCONTOS VEXA</t>
  </si>
  <si>
    <t>DESCONTO POR PRAZO (% sobre preço base 4 semanas)</t>
  </si>
  <si>
    <t>Preço Base
(4 sem)</t>
  </si>
  <si>
    <t>8 sem
(-5.0%)</t>
  </si>
  <si>
    <t>12 sem
(-8.0%)</t>
  </si>
  <si>
    <t>16 sem
(-10.0%)</t>
  </si>
  <si>
    <t>Desc. Máx.
Combo</t>
  </si>
  <si>
    <t>DESCONTO POR QUANTIDADE (% sobre preço unitário)</t>
  </si>
  <si>
    <t>Preço Unit.
Original</t>
  </si>
  <si>
    <t>Economia
Total (R$)</t>
  </si>
  <si>
    <t>MATRIZ COMBINADA: Prazo × Quantidade (Preço Total com ambos descontos)</t>
  </si>
  <si>
    <t>20 sem
(-9.0%)</t>
  </si>
  <si>
    <t>24 sem
(-11.0%)</t>
  </si>
  <si>
    <t>28 sem
(-13.0%)</t>
  </si>
  <si>
    <t>32 sem
(-15.0%)</t>
  </si>
  <si>
    <t>36 sem
(-17.0%)</t>
  </si>
  <si>
    <t>40 sem
(-19.0%)</t>
  </si>
  <si>
    <t>44 sem
(-21.0%)</t>
  </si>
  <si>
    <t>48 sem
(-23.0%)</t>
  </si>
  <si>
    <t>52 sem
(-25.0%)</t>
  </si>
  <si>
    <t>20 semanas</t>
  </si>
  <si>
    <t>24 semanas</t>
  </si>
  <si>
    <t>28 semanas</t>
  </si>
  <si>
    <t>32 semanas</t>
  </si>
  <si>
    <t>36 semanas</t>
  </si>
  <si>
    <t>40 semanas</t>
  </si>
  <si>
    <t>44 semanas</t>
  </si>
  <si>
    <t>48 semanas</t>
  </si>
  <si>
    <t>52 semanas</t>
  </si>
  <si>
    <t>Unit.
4 sem</t>
  </si>
  <si>
    <t>Unit.
8 sem</t>
  </si>
  <si>
    <t>Unit.
12 sem</t>
  </si>
  <si>
    <t>Unit.
16 sem</t>
  </si>
  <si>
    <t>Unit.
20 sem</t>
  </si>
  <si>
    <t>Unit.
24 sem</t>
  </si>
  <si>
    <t>Unit.
28 sem</t>
  </si>
  <si>
    <t>Unit.
32 sem</t>
  </si>
  <si>
    <t>Unit.
36 sem</t>
  </si>
  <si>
    <t>Unit.
40 sem</t>
  </si>
  <si>
    <t>Unit.
44 sem</t>
  </si>
  <si>
    <t>Unit.
48 sem</t>
  </si>
  <si>
    <t>Unit.
52 sem</t>
  </si>
  <si>
    <t>% Desconto Nominal
Qtd.</t>
  </si>
  <si>
    <t>MATRIZ DE DESCONTOS COMBINADOS: Quantidade + Prazo (% sobre preço base 1.000 un / 4 sem)</t>
  </si>
  <si>
    <t>4 sem</t>
  </si>
  <si>
    <t>20 sem</t>
  </si>
  <si>
    <t>24 sem</t>
  </si>
  <si>
    <t>28 sem</t>
  </si>
  <si>
    <t>32 sem</t>
  </si>
  <si>
    <t>36 sem</t>
  </si>
  <si>
    <t>40 sem</t>
  </si>
  <si>
    <t>44 sem</t>
  </si>
  <si>
    <t>48 sem</t>
  </si>
  <si>
    <t>52 sem</t>
  </si>
  <si>
    <t>Quantidade (un.)</t>
  </si>
  <si>
    <t>Semanas</t>
  </si>
  <si>
    <t>Múltiplos de 1.000 (1k a 20k)</t>
  </si>
  <si>
    <t>Múltiplos de 4 (4 a 52)</t>
  </si>
  <si>
    <t>ECONOMICS</t>
  </si>
  <si>
    <t>CUSTOS</t>
  </si>
  <si>
    <t>Custo GPC Unitário</t>
  </si>
  <si>
    <t>Custo Produção Total</t>
  </si>
  <si>
    <t>Frete</t>
  </si>
  <si>
    <t>Custo Total (Prod+Frete)</t>
  </si>
  <si>
    <t>PREÇO SEM DESCONTO</t>
  </si>
  <si>
    <t>Preço Unit. (4 sem, s/ desc.)</t>
  </si>
  <si>
    <t>Preço Total (4 sem, s/ desc.)</t>
  </si>
  <si>
    <t>DESCONTOS</t>
  </si>
  <si>
    <t>Desc. por Prazo</t>
  </si>
  <si>
    <t>Desc. por Quantidade</t>
  </si>
  <si>
    <t>Desc. Combinado (vs base 1k/4sem)</t>
  </si>
  <si>
    <t>Nº Períodos (x4 sem)</t>
  </si>
  <si>
    <t>COMISSÕES E IMPOSTOS</t>
  </si>
  <si>
    <t>Valor IRPJ</t>
  </si>
  <si>
    <t>Comissão Restaurante (%)</t>
  </si>
  <si>
    <t>Valor Comissão Restaurante</t>
  </si>
  <si>
    <t>Comissão Comercial (%)</t>
  </si>
  <si>
    <t>Valor Comissão Comercial</t>
  </si>
  <si>
    <t>Total Deduções</t>
  </si>
  <si>
    <t>RESULTADO FINAL</t>
  </si>
  <si>
    <t>Receita Líquida (após deduções)</t>
  </si>
  <si>
    <t>Lucro Bruto (Rec.Líq. - Custo Total)</t>
  </si>
  <si>
    <t>Margem sobre Receita Total</t>
  </si>
  <si>
    <t>Lucro por Unidade</t>
  </si>
  <si>
    <t>Custo por Unidade (total)</t>
  </si>
  <si>
    <t>RESUMO RÁPIDO</t>
  </si>
  <si>
    <t>Preço Total</t>
  </si>
  <si>
    <t>Desconto Total</t>
  </si>
  <si>
    <t>Lucro Bruto</t>
  </si>
  <si>
    <t>Custo Total</t>
  </si>
  <si>
    <t>Componente</t>
  </si>
  <si>
    <t>R$/un.</t>
  </si>
  <si>
    <t>% do Preço</t>
  </si>
  <si>
    <t>Custo GPC</t>
  </si>
  <si>
    <t>Frete/un.</t>
  </si>
  <si>
    <t>Com. Restaurante</t>
  </si>
  <si>
    <t>Com. Comercial</t>
  </si>
  <si>
    <t>Margem / Lucro</t>
  </si>
  <si>
    <t>Preço Unit. c/ Desc.</t>
  </si>
  <si>
    <t>Margem Líquida (após deduções)</t>
  </si>
  <si>
    <t>FORMA DE PAGAMENTO</t>
  </si>
  <si>
    <t>Desc. Pix</t>
  </si>
  <si>
    <t>Acrésc. Cartão</t>
  </si>
  <si>
    <t>Pagamento</t>
  </si>
  <si>
    <t>Pix, Boleto ou Cartão</t>
  </si>
  <si>
    <t>Desc. Forma Pagamento</t>
  </si>
  <si>
    <t>Preço Total c/ Descontos</t>
  </si>
  <si>
    <t>Preço Unit. c/ Descontos</t>
  </si>
  <si>
    <t>Pix</t>
  </si>
  <si>
    <t>Desc. Boleto</t>
  </si>
  <si>
    <t>DECOMPOSIÇÃO DO PREÇO (por unidade)</t>
  </si>
  <si>
    <t xml:space="preserve"> Margem Líquida</t>
  </si>
  <si>
    <t>Preço Unitário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</si>
</sst>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 &quot;#,##0.00"/>
    <numFmt numFmtId="165" formatCode="0.0%"/>
    <numFmt numFmtId="166" formatCode="&quot;R$ &quot;#,##0"/>
    <numFmt numFmtId="167" formatCode="&quot;R$ &quot;#,##0.0000"/>
  </numFmts>
  <fonts count="46">
    <font>
      <sz val="12"/>
      <color theme="1"/>
      <name val="Aptos Narrow"/>
      <scheme val="minor"/>
    </font>
    <font>
      <sz val="12"/>
      <name val="Aptos Narrow"/>
    </font>
    <font>
      <b/>
      <sz val="11"/>
      <color rgb="FF1B2A4A"/>
      <name val="Aptos Narrow"/>
    </font>
    <font>
      <sz val="12"/>
      <color theme="1"/>
      <name val="Aptos Narrow"/>
    </font>
    <font>
      <b/>
      <sz val="12"/>
      <color rgb="FFFFFFFF"/>
      <name val="Aptos Narrow"/>
    </font>
    <font>
      <b/>
      <sz val="12"/>
      <color theme="1"/>
      <name val="Aptos Narrow"/>
    </font>
    <font>
      <b/>
      <sz val="14"/>
      <color rgb="FFFFFFFF"/>
      <name val="Aptos Narrow"/>
    </font>
    <font>
      <b/>
      <sz val="12"/>
      <color rgb="FF0000FF"/>
      <name val="Aptos Narrow"/>
    </font>
    <font>
      <b/>
      <sz val="12"/>
      <color rgb="FF0000FF"/>
      <name val="Arial"/>
      <family val="2"/>
    </font>
    <font>
      <b/>
      <sz val="12"/>
      <color theme="1"/>
      <name val="Arial"/>
      <family val="2"/>
    </font>
    <font>
      <sz val="12"/>
      <color rgb="FF0000FF"/>
      <name val="Aptos Narrow"/>
    </font>
    <font>
      <b/>
      <sz val="10"/>
      <color rgb="FFFFFFFF"/>
      <name val="Aptos Narrow"/>
    </font>
    <font>
      <b/>
      <sz val="12"/>
      <color rgb="FF008000"/>
      <name val="Aptos Narrow"/>
    </font>
    <font>
      <b/>
      <sz val="12"/>
      <color rgb="FFC00000"/>
      <name val="Aptos Narrow"/>
    </font>
    <font>
      <b/>
      <sz val="10"/>
      <color rgb="FFFFFFFF"/>
      <name val="Aptos Narrow"/>
      <scheme val="minor"/>
    </font>
    <font>
      <b/>
      <sz val="12"/>
      <color rgb="FF008000"/>
      <name val="Aptos Narrow"/>
      <scheme val="minor"/>
    </font>
    <font>
      <b/>
      <sz val="11"/>
      <color rgb="FF1B2A4A"/>
      <name val="Aptos Narrow"/>
      <scheme val="minor"/>
    </font>
    <font>
      <b/>
      <sz val="12"/>
      <color rgb="FFFFFFFF"/>
      <name val="Aptos Narrow"/>
      <scheme val="minor"/>
    </font>
    <font>
      <b/>
      <sz val="12"/>
      <color theme="3"/>
      <name val="Aptos Narrow"/>
      <scheme val="minor"/>
    </font>
    <font>
      <b/>
      <sz val="11"/>
      <color rgb="FFFFFFFF"/>
      <name val="Aptos Narrow"/>
      <scheme val="minor"/>
    </font>
    <font>
      <b/>
      <sz val="11"/>
      <color rgb="FFC00000"/>
      <name val="Aptos Narrow"/>
      <scheme val="minor"/>
    </font>
    <font>
      <b/>
      <sz val="20"/>
      <color rgb="FF1B2A4A"/>
      <name val="Aptos Narrow"/>
      <scheme val="minor"/>
    </font>
    <font>
      <sz val="11"/>
      <color theme="1"/>
      <name val="Aptos Narrow"/>
      <scheme val="minor"/>
    </font>
    <font>
      <b/>
      <sz val="12"/>
      <color rgb="FF000000"/>
      <name val="Aptos Narrow"/>
    </font>
    <font>
      <b/>
      <sz val="11"/>
      <color rgb="FF333333"/>
      <name val="Aptos Narrow"/>
      <scheme val="minor"/>
    </font>
    <font>
      <sz val="11"/>
      <color rgb="FF333333"/>
      <name val="Aptos Narrow"/>
      <scheme val="minor"/>
    </font>
    <font>
      <b/>
      <sz val="18"/>
      <color rgb="FFFFFFFF"/>
      <name val="Aptos Narrow"/>
      <scheme val="minor"/>
    </font>
    <font>
      <i/>
      <sz val="8"/>
      <color rgb="FFAAAAAA"/>
      <name val="Aptos Narrow"/>
      <scheme val="minor"/>
    </font>
    <font>
      <sz val="11"/>
      <color rgb="FF2E7D32"/>
      <name val="Aptos Narrow"/>
      <scheme val="minor"/>
    </font>
    <font>
      <b/>
      <sz val="11"/>
      <color rgb="FF2E7D32"/>
      <name val="Aptos Narrow"/>
      <scheme val="minor"/>
    </font>
    <font>
      <b/>
      <sz val="11"/>
      <color rgb="FFE65100"/>
      <name val="Aptos Narrow"/>
      <scheme val="minor"/>
    </font>
    <font>
      <b/>
      <sz val="11"/>
      <color rgb="FF1B5E20"/>
      <name val="Aptos Narrow"/>
      <scheme val="minor"/>
    </font>
    <font>
      <b/>
      <sz val="10"/>
      <color rgb="FF1B5E20"/>
      <name val="Aptos Narrow"/>
      <scheme val="minor"/>
    </font>
    <font>
      <sz val="10"/>
      <color rgb="FF555555"/>
      <name val="Aptos Narrow"/>
      <scheme val="minor"/>
    </font>
    <font>
      <b/>
      <sz val="10"/>
      <color rgb="FF333333"/>
      <name val="Aptos Narrow"/>
      <scheme val="minor"/>
    </font>
    <font>
      <b/>
      <sz val="11"/>
      <color rgb="FFC62828"/>
      <name val="Aptos Narrow"/>
      <scheme val="minor"/>
    </font>
    <font>
      <b/>
      <sz val="9"/>
      <color rgb="FFFFFFFF"/>
      <name val="Aptos Narrow"/>
      <scheme val="minor"/>
    </font>
    <font>
      <sz val="11"/>
      <color rgb="FF555555"/>
      <name val="Aptos Narrow"/>
      <scheme val="minor"/>
    </font>
    <font>
      <b/>
      <sz val="11"/>
      <color rgb="FF7A6200"/>
      <name val="Aptos Narrow"/>
      <scheme val="minor"/>
    </font>
    <font>
      <b/>
      <sz val="11"/>
      <color rgb="FF880E4F"/>
      <name val="Aptos Narrow"/>
      <scheme val="minor"/>
    </font>
    <font>
      <b/>
      <sz val="11"/>
      <color rgb="FF616161"/>
      <name val="Aptos Narrow"/>
      <scheme val="minor"/>
    </font>
    <font>
      <b/>
      <sz val="18"/>
      <color rgb="FFBF8F00"/>
      <name val="Aptos Narrow"/>
      <scheme val="minor"/>
    </font>
    <font>
      <sz val="18"/>
      <color rgb="FF333333"/>
      <name val="Aptos Narrow"/>
      <scheme val="minor"/>
    </font>
    <font>
      <b/>
      <sz val="18"/>
      <color rgb="FFC62828"/>
      <name val="Aptos Narrow"/>
      <scheme val="minor"/>
    </font>
    <font>
      <b/>
      <sz val="18"/>
      <color rgb="FF2E7D32"/>
      <name val="Aptos Narrow"/>
      <scheme val="minor"/>
    </font>
    <font>
      <b/>
      <sz val="18"/>
      <color rgb="FF616161"/>
      <name val="Aptos Narrow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548235"/>
        <bgColor rgb="FF548235"/>
      </patternFill>
    </fill>
    <fill>
      <patternFill patternType="solid">
        <fgColor rgb="FFBF8F00"/>
        <bgColor rgb="FFBF8F00"/>
      </patternFill>
    </fill>
    <fill>
      <patternFill patternType="solid">
        <fgColor rgb="FFFCE4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8EEF7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5F5F5"/>
        <bgColor indexed="64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medium">
        <color rgb="FFBF8F00"/>
      </top>
      <bottom/>
      <diagonal/>
    </border>
    <border>
      <left style="medium">
        <color rgb="FFBF8F00"/>
      </left>
      <right style="medium">
        <color rgb="FFBF8F00"/>
      </right>
      <top style="medium">
        <color rgb="FFBF8F00"/>
      </top>
      <bottom style="medium">
        <color rgb="FFBF8F00"/>
      </bottom>
      <diagonal/>
    </border>
    <border>
      <left/>
      <right/>
      <top style="medium">
        <color rgb="FF2E7D32"/>
      </top>
      <bottom/>
      <diagonal/>
    </border>
    <border>
      <left/>
      <right/>
      <top/>
      <bottom style="medium">
        <color rgb="FFBF8F00"/>
      </bottom>
      <diagonal/>
    </border>
    <border>
      <left/>
      <right/>
      <top style="medium">
        <color rgb="FFC62828"/>
      </top>
      <bottom/>
      <diagonal/>
    </border>
    <border>
      <left/>
      <right/>
      <top/>
      <bottom style="medium">
        <color rgb="FFC62828"/>
      </bottom>
      <diagonal/>
    </border>
    <border>
      <left/>
      <right/>
      <top/>
      <bottom style="medium">
        <color rgb="FF2E7D32"/>
      </bottom>
      <diagonal/>
    </border>
    <border>
      <left/>
      <right/>
      <top style="medium">
        <color rgb="FF9E9E9E"/>
      </top>
      <bottom/>
      <diagonal/>
    </border>
    <border>
      <left/>
      <right/>
      <top/>
      <bottom style="medium">
        <color rgb="FF9E9E9E"/>
      </bottom>
      <diagonal/>
    </border>
    <border>
      <left style="thin">
        <color rgb="FFE0E0E0"/>
      </left>
      <right/>
      <top/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/>
      <top style="thin">
        <color rgb="FFF0F0F0"/>
      </top>
      <bottom/>
      <diagonal/>
    </border>
    <border>
      <left/>
      <right style="thin">
        <color rgb="FFE0E0E0"/>
      </right>
      <top style="thin">
        <color rgb="FFF0F0F0"/>
      </top>
      <bottom/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/>
      <diagonal/>
    </border>
    <border>
      <left style="medium">
        <color rgb="FF1B2A4A"/>
      </left>
      <right/>
      <top/>
      <bottom style="thin">
        <color rgb="FFE0E0E0"/>
      </bottom>
      <diagonal/>
    </border>
    <border>
      <left style="medium">
        <color rgb="FF1B2A4A"/>
      </left>
      <right/>
      <top/>
      <bottom/>
      <diagonal/>
    </border>
    <border>
      <left style="medium">
        <color rgb="FF1B2A4A"/>
      </left>
      <right/>
      <top style="medium">
        <color rgb="FF2E7D32"/>
      </top>
      <bottom/>
      <diagonal/>
    </border>
    <border>
      <left style="medium">
        <color rgb="FF1B2A4A"/>
      </left>
      <right/>
      <top style="medium">
        <color rgb="FFE65100"/>
      </top>
      <bottom/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/>
      <right style="thin">
        <color rgb="FFE0E0E0"/>
      </right>
      <top style="medium">
        <color rgb="FF2E7D32"/>
      </top>
      <bottom/>
      <diagonal/>
    </border>
    <border>
      <left/>
      <right style="thin">
        <color rgb="FFE0E0E0"/>
      </right>
      <top style="medium">
        <color rgb="FFE65100"/>
      </top>
      <bottom/>
      <diagonal/>
    </border>
  </borders>
  <cellStyleXfs count="1">
    <xf numFmtId="0" fontId="0" fillId="0" borderId="0"/>
  </cellStyleXfs>
  <cellXfs count="182">
    <xf numFmtId="0" fontId="0" fillId="0" borderId="0" xfId="0"/>
    <xf numFmtId="0" fontId="2" fillId="3" borderId="4" xfId="0" applyFont="1" applyFill="1" applyBorder="1"/>
    <xf numFmtId="0" fontId="3" fillId="3" borderId="4" xfId="0" applyFont="1" applyFill="1" applyBorder="1"/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3" fontId="3" fillId="4" borderId="8" xfId="0" applyNumberFormat="1" applyFont="1" applyFill="1" applyBorder="1" applyAlignment="1">
      <alignment horizontal="center"/>
    </xf>
    <xf numFmtId="164" fontId="3" fillId="4" borderId="9" xfId="0" applyNumberFormat="1" applyFont="1" applyFill="1" applyBorder="1"/>
    <xf numFmtId="164" fontId="3" fillId="4" borderId="10" xfId="0" applyNumberFormat="1" applyFont="1" applyFill="1" applyBorder="1"/>
    <xf numFmtId="3" fontId="3" fillId="0" borderId="11" xfId="0" applyNumberFormat="1" applyFont="1" applyBorder="1" applyAlignment="1">
      <alignment horizontal="center"/>
    </xf>
    <xf numFmtId="164" fontId="3" fillId="0" borderId="9" xfId="0" applyNumberFormat="1" applyFont="1" applyBorder="1"/>
    <xf numFmtId="164" fontId="3" fillId="0" borderId="12" xfId="0" applyNumberFormat="1" applyFont="1" applyBorder="1"/>
    <xf numFmtId="3" fontId="3" fillId="0" borderId="13" xfId="0" applyNumberFormat="1" applyFont="1" applyBorder="1" applyAlignment="1">
      <alignment horizontal="center"/>
    </xf>
    <xf numFmtId="164" fontId="3" fillId="0" borderId="14" xfId="0" applyNumberFormat="1" applyFont="1" applyBorder="1"/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/>
    <xf numFmtId="0" fontId="5" fillId="0" borderId="0" xfId="0" applyFont="1"/>
    <xf numFmtId="165" fontId="7" fillId="0" borderId="0" xfId="0" applyNumberFormat="1" applyFont="1"/>
    <xf numFmtId="165" fontId="8" fillId="0" borderId="0" xfId="0" applyNumberFormat="1" applyFont="1"/>
    <xf numFmtId="0" fontId="9" fillId="0" borderId="0" xfId="0" applyFont="1"/>
    <xf numFmtId="3" fontId="10" fillId="0" borderId="11" xfId="0" applyNumberFormat="1" applyFont="1" applyBorder="1" applyAlignment="1">
      <alignment horizontal="center"/>
    </xf>
    <xf numFmtId="167" fontId="10" fillId="0" borderId="9" xfId="0" applyNumberFormat="1" applyFont="1" applyBorder="1"/>
    <xf numFmtId="165" fontId="10" fillId="0" borderId="9" xfId="0" applyNumberFormat="1" applyFont="1" applyBorder="1"/>
    <xf numFmtId="164" fontId="10" fillId="0" borderId="9" xfId="0" applyNumberFormat="1" applyFont="1" applyBorder="1"/>
    <xf numFmtId="0" fontId="10" fillId="0" borderId="12" xfId="0" applyFont="1" applyBorder="1" applyAlignment="1">
      <alignment horizontal="center"/>
    </xf>
    <xf numFmtId="3" fontId="10" fillId="4" borderId="8" xfId="0" applyNumberFormat="1" applyFont="1" applyFill="1" applyBorder="1" applyAlignment="1">
      <alignment horizontal="center"/>
    </xf>
    <xf numFmtId="167" fontId="10" fillId="4" borderId="9" xfId="0" applyNumberFormat="1" applyFont="1" applyFill="1" applyBorder="1"/>
    <xf numFmtId="165" fontId="10" fillId="4" borderId="9" xfId="0" applyNumberFormat="1" applyFont="1" applyFill="1" applyBorder="1"/>
    <xf numFmtId="164" fontId="10" fillId="4" borderId="9" xfId="0" applyNumberFormat="1" applyFont="1" applyFill="1" applyBorder="1"/>
    <xf numFmtId="0" fontId="10" fillId="4" borderId="10" xfId="0" applyFont="1" applyFill="1" applyBorder="1" applyAlignment="1">
      <alignment horizontal="center"/>
    </xf>
    <xf numFmtId="3" fontId="10" fillId="4" borderId="15" xfId="0" applyNumberFormat="1" applyFont="1" applyFill="1" applyBorder="1" applyAlignment="1">
      <alignment horizontal="center"/>
    </xf>
    <xf numFmtId="167" fontId="10" fillId="4" borderId="16" xfId="0" applyNumberFormat="1" applyFont="1" applyFill="1" applyBorder="1"/>
    <xf numFmtId="164" fontId="10" fillId="4" borderId="16" xfId="0" applyNumberFormat="1" applyFont="1" applyFill="1" applyBorder="1"/>
    <xf numFmtId="0" fontId="10" fillId="4" borderId="17" xfId="0" applyFont="1" applyFill="1" applyBorder="1" applyAlignment="1">
      <alignment horizontal="center"/>
    </xf>
    <xf numFmtId="164" fontId="3" fillId="4" borderId="12" xfId="0" applyNumberFormat="1" applyFont="1" applyFill="1" applyBorder="1"/>
    <xf numFmtId="3" fontId="3" fillId="4" borderId="15" xfId="0" applyNumberFormat="1" applyFont="1" applyFill="1" applyBorder="1" applyAlignment="1">
      <alignment horizontal="center"/>
    </xf>
    <xf numFmtId="164" fontId="3" fillId="4" borderId="16" xfId="0" applyNumberFormat="1" applyFont="1" applyFill="1" applyBorder="1"/>
    <xf numFmtId="164" fontId="3" fillId="4" borderId="19" xfId="0" applyNumberFormat="1" applyFont="1" applyFill="1" applyBorder="1"/>
    <xf numFmtId="0" fontId="4" fillId="2" borderId="6" xfId="0" applyFont="1" applyFill="1" applyBorder="1" applyAlignment="1">
      <alignment horizontal="center" wrapText="1"/>
    </xf>
    <xf numFmtId="0" fontId="4" fillId="5" borderId="6" xfId="0" applyFont="1" applyFill="1" applyBorder="1" applyAlignment="1">
      <alignment horizontal="center" wrapText="1"/>
    </xf>
    <xf numFmtId="0" fontId="4" fillId="5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3" fillId="4" borderId="17" xfId="0" applyNumberFormat="1" applyFont="1" applyFill="1" applyBorder="1"/>
    <xf numFmtId="0" fontId="1" fillId="0" borderId="2" xfId="0" applyFont="1" applyBorder="1"/>
    <xf numFmtId="0" fontId="1" fillId="0" borderId="3" xfId="0" applyFont="1" applyBorder="1"/>
    <xf numFmtId="0" fontId="6" fillId="2" borderId="1" xfId="0" applyFont="1" applyFill="1" applyBorder="1" applyAlignment="1">
      <alignment horizontal="center"/>
    </xf>
    <xf numFmtId="0" fontId="1" fillId="0" borderId="4" xfId="0" applyFont="1" applyBorder="1"/>
    <xf numFmtId="164" fontId="12" fillId="9" borderId="9" xfId="0" applyNumberFormat="1" applyFont="1" applyFill="1" applyBorder="1"/>
    <xf numFmtId="164" fontId="12" fillId="10" borderId="9" xfId="0" applyNumberFormat="1" applyFont="1" applyFill="1" applyBorder="1"/>
    <xf numFmtId="164" fontId="15" fillId="9" borderId="9" xfId="0" applyNumberFormat="1" applyFont="1" applyFill="1" applyBorder="1"/>
    <xf numFmtId="164" fontId="15" fillId="10" borderId="9" xfId="0" applyNumberFormat="1" applyFont="1" applyFill="1" applyBorder="1"/>
    <xf numFmtId="0" fontId="4" fillId="5" borderId="18" xfId="0" applyFont="1" applyFill="1" applyBorder="1" applyAlignment="1">
      <alignment horizontal="center" wrapText="1"/>
    </xf>
    <xf numFmtId="0" fontId="4" fillId="12" borderId="4" xfId="0" applyFont="1" applyFill="1" applyBorder="1" applyAlignment="1">
      <alignment horizontal="center"/>
    </xf>
    <xf numFmtId="164" fontId="3" fillId="9" borderId="12" xfId="0" applyNumberFormat="1" applyFont="1" applyFill="1" applyBorder="1"/>
    <xf numFmtId="164" fontId="3" fillId="10" borderId="12" xfId="0" applyNumberFormat="1" applyFont="1" applyFill="1" applyBorder="1"/>
    <xf numFmtId="164" fontId="3" fillId="9" borderId="4" xfId="0" applyNumberFormat="1" applyFont="1" applyFill="1" applyBorder="1"/>
    <xf numFmtId="164" fontId="3" fillId="10" borderId="4" xfId="0" applyNumberFormat="1" applyFont="1" applyFill="1" applyBorder="1"/>
    <xf numFmtId="164" fontId="3" fillId="9" borderId="9" xfId="0" applyNumberFormat="1" applyFont="1" applyFill="1" applyBorder="1"/>
    <xf numFmtId="164" fontId="3" fillId="10" borderId="9" xfId="0" applyNumberFormat="1" applyFont="1" applyFill="1" applyBorder="1"/>
    <xf numFmtId="0" fontId="4" fillId="6" borderId="20" xfId="0" applyFont="1" applyFill="1" applyBorder="1" applyAlignment="1">
      <alignment horizontal="center" wrapText="1"/>
    </xf>
    <xf numFmtId="165" fontId="12" fillId="0" borderId="21" xfId="0" applyNumberFormat="1" applyFont="1" applyBorder="1"/>
    <xf numFmtId="0" fontId="4" fillId="5" borderId="9" xfId="0" applyFont="1" applyFill="1" applyBorder="1" applyAlignment="1">
      <alignment horizontal="center" wrapText="1"/>
    </xf>
    <xf numFmtId="164" fontId="3" fillId="9" borderId="21" xfId="0" applyNumberFormat="1" applyFont="1" applyFill="1" applyBorder="1"/>
    <xf numFmtId="164" fontId="3" fillId="10" borderId="21" xfId="0" applyNumberFormat="1" applyFont="1" applyFill="1" applyBorder="1"/>
    <xf numFmtId="164" fontId="3" fillId="9" borderId="11" xfId="0" applyNumberFormat="1" applyFont="1" applyFill="1" applyBorder="1"/>
    <xf numFmtId="164" fontId="3" fillId="10" borderId="11" xfId="0" applyNumberFormat="1" applyFont="1" applyFill="1" applyBorder="1"/>
    <xf numFmtId="0" fontId="4" fillId="12" borderId="11" xfId="0" applyFont="1" applyFill="1" applyBorder="1" applyAlignment="1">
      <alignment horizontal="center"/>
    </xf>
    <xf numFmtId="0" fontId="4" fillId="12" borderId="9" xfId="0" applyFont="1" applyFill="1" applyBorder="1" applyAlignment="1">
      <alignment horizontal="center"/>
    </xf>
    <xf numFmtId="0" fontId="4" fillId="12" borderId="12" xfId="0" applyFont="1" applyFill="1" applyBorder="1" applyAlignment="1">
      <alignment horizontal="center"/>
    </xf>
    <xf numFmtId="0" fontId="4" fillId="5" borderId="20" xfId="0" applyFont="1" applyFill="1" applyBorder="1" applyAlignment="1">
      <alignment horizontal="center" wrapText="1"/>
    </xf>
    <xf numFmtId="0" fontId="4" fillId="7" borderId="18" xfId="0" applyFont="1" applyFill="1" applyBorder="1" applyAlignment="1">
      <alignment horizontal="center" wrapText="1"/>
    </xf>
    <xf numFmtId="165" fontId="5" fillId="4" borderId="12" xfId="0" applyNumberFormat="1" applyFont="1" applyFill="1" applyBorder="1"/>
    <xf numFmtId="164" fontId="13" fillId="4" borderId="21" xfId="0" applyNumberFormat="1" applyFont="1" applyFill="1" applyBorder="1"/>
    <xf numFmtId="0" fontId="14" fillId="12" borderId="9" xfId="0" applyFont="1" applyFill="1" applyBorder="1" applyAlignment="1">
      <alignment horizontal="center" wrapText="1"/>
    </xf>
    <xf numFmtId="0" fontId="11" fillId="12" borderId="9" xfId="0" applyFont="1" applyFill="1" applyBorder="1" applyAlignment="1">
      <alignment horizontal="center" wrapText="1"/>
    </xf>
    <xf numFmtId="0" fontId="16" fillId="13" borderId="0" xfId="0" applyFont="1" applyFill="1"/>
    <xf numFmtId="0" fontId="17" fillId="12" borderId="6" xfId="0" applyFont="1" applyFill="1" applyBorder="1" applyAlignment="1">
      <alignment horizontal="center"/>
    </xf>
    <xf numFmtId="0" fontId="17" fillId="14" borderId="6" xfId="0" applyFont="1" applyFill="1" applyBorder="1" applyAlignment="1">
      <alignment horizontal="center"/>
    </xf>
    <xf numFmtId="3" fontId="0" fillId="10" borderId="9" xfId="0" applyNumberFormat="1" applyFont="1" applyFill="1" applyBorder="1" applyAlignment="1">
      <alignment horizontal="center"/>
    </xf>
    <xf numFmtId="3" fontId="0" fillId="9" borderId="9" xfId="0" applyNumberFormat="1" applyFont="1" applyFill="1" applyBorder="1" applyAlignment="1">
      <alignment horizontal="center"/>
    </xf>
    <xf numFmtId="165" fontId="18" fillId="10" borderId="9" xfId="0" applyNumberFormat="1" applyFont="1" applyFill="1" applyBorder="1" applyAlignment="1">
      <alignment horizontal="center"/>
    </xf>
    <xf numFmtId="165" fontId="18" fillId="9" borderId="9" xfId="0" applyNumberFormat="1" applyFont="1" applyFill="1" applyBorder="1" applyAlignment="1">
      <alignment horizontal="center"/>
    </xf>
    <xf numFmtId="0" fontId="0" fillId="13" borderId="0" xfId="0" applyFill="1"/>
    <xf numFmtId="0" fontId="22" fillId="0" borderId="0" xfId="0" applyFont="1"/>
    <xf numFmtId="0" fontId="14" fillId="14" borderId="0" xfId="0" applyFont="1" applyFill="1" applyAlignment="1">
      <alignment horizontal="center"/>
    </xf>
    <xf numFmtId="0" fontId="2" fillId="13" borderId="0" xfId="0" applyFont="1" applyFill="1"/>
    <xf numFmtId="0" fontId="23" fillId="9" borderId="0" xfId="0" applyFont="1" applyFill="1"/>
    <xf numFmtId="165" fontId="7" fillId="9" borderId="0" xfId="0" applyNumberFormat="1" applyFont="1" applyFill="1"/>
    <xf numFmtId="0" fontId="23" fillId="10" borderId="0" xfId="0" applyFont="1" applyFill="1"/>
    <xf numFmtId="165" fontId="7" fillId="10" borderId="0" xfId="0" applyNumberFormat="1" applyFont="1" applyFill="1"/>
    <xf numFmtId="0" fontId="0" fillId="9" borderId="0" xfId="0" applyFill="1"/>
    <xf numFmtId="0" fontId="25" fillId="9" borderId="4" xfId="0" applyFont="1" applyFill="1" applyBorder="1"/>
    <xf numFmtId="0" fontId="25" fillId="9" borderId="4" xfId="0" applyFont="1" applyFill="1" applyBorder="1" applyAlignment="1">
      <alignment horizontal="center"/>
    </xf>
    <xf numFmtId="0" fontId="0" fillId="0" borderId="0" xfId="0"/>
    <xf numFmtId="0" fontId="0" fillId="0" borderId="4" xfId="0" applyBorder="1"/>
    <xf numFmtId="0" fontId="26" fillId="14" borderId="4" xfId="0" applyFont="1" applyFill="1" applyBorder="1" applyAlignment="1">
      <alignment horizontal="center" vertical="center"/>
    </xf>
    <xf numFmtId="0" fontId="19" fillId="12" borderId="4" xfId="0" applyFont="1" applyFill="1" applyBorder="1" applyAlignment="1">
      <alignment horizontal="center"/>
    </xf>
    <xf numFmtId="0" fontId="16" fillId="16" borderId="4" xfId="0" applyFont="1" applyFill="1" applyBorder="1" applyAlignment="1">
      <alignment horizontal="right" vertical="center"/>
    </xf>
    <xf numFmtId="0" fontId="16" fillId="16" borderId="4" xfId="0" applyFont="1" applyFill="1" applyBorder="1" applyAlignment="1">
      <alignment horizontal="right" vertical="center" wrapText="1"/>
    </xf>
    <xf numFmtId="3" fontId="21" fillId="11" borderId="23" xfId="0" applyNumberFormat="1" applyFont="1" applyFill="1" applyBorder="1" applyAlignment="1">
      <alignment horizontal="center" vertical="center"/>
    </xf>
    <xf numFmtId="1" fontId="21" fillId="11" borderId="23" xfId="0" applyNumberFormat="1" applyFont="1" applyFill="1" applyBorder="1" applyAlignment="1">
      <alignment horizontal="center" vertical="center"/>
    </xf>
    <xf numFmtId="0" fontId="21" fillId="11" borderId="23" xfId="0" applyFont="1" applyFill="1" applyBorder="1" applyAlignment="1">
      <alignment horizontal="center" vertical="center"/>
    </xf>
    <xf numFmtId="0" fontId="27" fillId="9" borderId="4" xfId="0" applyFont="1" applyFill="1" applyBorder="1" applyAlignment="1">
      <alignment horizontal="right"/>
    </xf>
    <xf numFmtId="0" fontId="17" fillId="14" borderId="4" xfId="0" applyFont="1" applyFill="1" applyBorder="1" applyAlignment="1">
      <alignment horizontal="center"/>
    </xf>
    <xf numFmtId="0" fontId="25" fillId="11" borderId="22" xfId="0" applyFont="1" applyFill="1" applyBorder="1" applyAlignment="1">
      <alignment horizontal="center"/>
    </xf>
    <xf numFmtId="166" fontId="25" fillId="9" borderId="25" xfId="0" applyNumberFormat="1" applyFont="1" applyFill="1" applyBorder="1" applyAlignment="1">
      <alignment horizontal="center"/>
    </xf>
    <xf numFmtId="164" fontId="25" fillId="9" borderId="25" xfId="0" applyNumberFormat="1" applyFont="1" applyFill="1" applyBorder="1" applyAlignment="1">
      <alignment horizontal="center"/>
    </xf>
    <xf numFmtId="165" fontId="25" fillId="9" borderId="27" xfId="0" applyNumberFormat="1" applyFont="1" applyFill="1" applyBorder="1" applyAlignment="1">
      <alignment horizontal="center"/>
    </xf>
    <xf numFmtId="0" fontId="36" fillId="12" borderId="4" xfId="0" applyFont="1" applyFill="1" applyBorder="1" applyAlignment="1">
      <alignment horizontal="center"/>
    </xf>
    <xf numFmtId="167" fontId="34" fillId="9" borderId="4" xfId="0" applyNumberFormat="1" applyFont="1" applyFill="1" applyBorder="1"/>
    <xf numFmtId="0" fontId="33" fillId="9" borderId="31" xfId="0" applyFont="1" applyFill="1" applyBorder="1"/>
    <xf numFmtId="165" fontId="34" fillId="9" borderId="32" xfId="0" applyNumberFormat="1" applyFont="1" applyFill="1" applyBorder="1"/>
    <xf numFmtId="0" fontId="33" fillId="19" borderId="33" xfId="0" applyFont="1" applyFill="1" applyBorder="1"/>
    <xf numFmtId="165" fontId="34" fillId="19" borderId="34" xfId="0" applyNumberFormat="1" applyFont="1" applyFill="1" applyBorder="1"/>
    <xf numFmtId="0" fontId="33" fillId="9" borderId="33" xfId="0" applyFont="1" applyFill="1" applyBorder="1"/>
    <xf numFmtId="165" fontId="34" fillId="9" borderId="34" xfId="0" applyNumberFormat="1" applyFont="1" applyFill="1" applyBorder="1"/>
    <xf numFmtId="167" fontId="34" fillId="19" borderId="36" xfId="0" applyNumberFormat="1" applyFont="1" applyFill="1" applyBorder="1"/>
    <xf numFmtId="167" fontId="34" fillId="9" borderId="35" xfId="0" applyNumberFormat="1" applyFont="1" applyFill="1" applyBorder="1"/>
    <xf numFmtId="167" fontId="34" fillId="9" borderId="36" xfId="0" applyNumberFormat="1" applyFont="1" applyFill="1" applyBorder="1"/>
    <xf numFmtId="167" fontId="29" fillId="18" borderId="4" xfId="0" applyNumberFormat="1" applyFont="1" applyFill="1" applyBorder="1"/>
    <xf numFmtId="0" fontId="32" fillId="18" borderId="33" xfId="0" applyFont="1" applyFill="1" applyBorder="1"/>
    <xf numFmtId="165" fontId="29" fillId="18" borderId="34" xfId="0" applyNumberFormat="1" applyFont="1" applyFill="1" applyBorder="1"/>
    <xf numFmtId="0" fontId="14" fillId="14" borderId="4" xfId="0" applyFont="1" applyFill="1" applyBorder="1"/>
    <xf numFmtId="167" fontId="19" fillId="14" borderId="4" xfId="0" applyNumberFormat="1" applyFont="1" applyFill="1" applyBorder="1"/>
    <xf numFmtId="9" fontId="19" fillId="14" borderId="4" xfId="0" applyNumberFormat="1" applyFont="1" applyFill="1" applyBorder="1" applyAlignment="1">
      <alignment horizontal="center"/>
    </xf>
    <xf numFmtId="0" fontId="0" fillId="9" borderId="4" xfId="0" applyFill="1" applyBorder="1"/>
    <xf numFmtId="0" fontId="17" fillId="14" borderId="38" xfId="0" applyFont="1" applyFill="1" applyBorder="1" applyAlignment="1">
      <alignment horizontal="center"/>
    </xf>
    <xf numFmtId="0" fontId="25" fillId="9" borderId="38" xfId="0" applyFont="1" applyFill="1" applyBorder="1" applyAlignment="1">
      <alignment vertical="center"/>
    </xf>
    <xf numFmtId="0" fontId="25" fillId="9" borderId="32" xfId="0" applyFont="1" applyFill="1" applyBorder="1" applyAlignment="1">
      <alignment horizontal="center"/>
    </xf>
    <xf numFmtId="0" fontId="25" fillId="15" borderId="42" xfId="0" applyFont="1" applyFill="1" applyBorder="1" applyAlignment="1">
      <alignment vertical="center"/>
    </xf>
    <xf numFmtId="167" fontId="24" fillId="9" borderId="32" xfId="0" applyNumberFormat="1" applyFont="1" applyFill="1" applyBorder="1" applyAlignment="1">
      <alignment vertical="center"/>
    </xf>
    <xf numFmtId="164" fontId="24" fillId="19" borderId="32" xfId="0" applyNumberFormat="1" applyFont="1" applyFill="1" applyBorder="1" applyAlignment="1">
      <alignment vertical="center"/>
    </xf>
    <xf numFmtId="164" fontId="24" fillId="9" borderId="32" xfId="0" applyNumberFormat="1" applyFont="1" applyFill="1" applyBorder="1" applyAlignment="1">
      <alignment vertical="center"/>
    </xf>
    <xf numFmtId="164" fontId="16" fillId="19" borderId="41" xfId="0" applyNumberFormat="1" applyFont="1" applyFill="1" applyBorder="1" applyAlignment="1">
      <alignment vertical="center"/>
    </xf>
    <xf numFmtId="0" fontId="25" fillId="16" borderId="32" xfId="0" applyFont="1" applyFill="1" applyBorder="1" applyAlignment="1">
      <alignment vertical="center"/>
    </xf>
    <xf numFmtId="165" fontId="24" fillId="9" borderId="32" xfId="0" applyNumberFormat="1" applyFont="1" applyFill="1" applyBorder="1" applyAlignment="1">
      <alignment vertical="center"/>
    </xf>
    <xf numFmtId="10" fontId="24" fillId="19" borderId="32" xfId="0" applyNumberFormat="1" applyFont="1" applyFill="1" applyBorder="1" applyAlignment="1">
      <alignment vertical="center"/>
    </xf>
    <xf numFmtId="0" fontId="25" fillId="8" borderId="32" xfId="0" applyFont="1" applyFill="1" applyBorder="1" applyAlignment="1">
      <alignment vertical="center"/>
    </xf>
    <xf numFmtId="165" fontId="35" fillId="9" borderId="32" xfId="0" applyNumberFormat="1" applyFont="1" applyFill="1" applyBorder="1" applyAlignment="1">
      <alignment vertical="center"/>
    </xf>
    <xf numFmtId="165" fontId="35" fillId="19" borderId="32" xfId="0" applyNumberFormat="1" applyFont="1" applyFill="1" applyBorder="1" applyAlignment="1">
      <alignment vertical="center"/>
    </xf>
    <xf numFmtId="1" fontId="25" fillId="19" borderId="32" xfId="0" applyNumberFormat="1" applyFont="1" applyFill="1" applyBorder="1" applyAlignment="1">
      <alignment vertical="center"/>
    </xf>
    <xf numFmtId="167" fontId="28" fillId="19" borderId="41" xfId="0" applyNumberFormat="1" applyFont="1" applyFill="1" applyBorder="1" applyAlignment="1">
      <alignment vertical="center"/>
    </xf>
    <xf numFmtId="0" fontId="25" fillId="9" borderId="32" xfId="0" applyFont="1" applyFill="1" applyBorder="1" applyAlignment="1">
      <alignment vertical="center"/>
    </xf>
    <xf numFmtId="0" fontId="25" fillId="17" borderId="43" xfId="0" applyFont="1" applyFill="1" applyBorder="1" applyAlignment="1">
      <alignment vertical="center"/>
    </xf>
    <xf numFmtId="164" fontId="30" fillId="19" borderId="32" xfId="0" applyNumberFormat="1" applyFont="1" applyFill="1" applyBorder="1" applyAlignment="1">
      <alignment vertical="center"/>
    </xf>
    <xf numFmtId="164" fontId="30" fillId="9" borderId="41" xfId="0" applyNumberFormat="1" applyFont="1" applyFill="1" applyBorder="1" applyAlignment="1">
      <alignment vertical="center"/>
    </xf>
    <xf numFmtId="0" fontId="25" fillId="18" borderId="32" xfId="0" applyFont="1" applyFill="1" applyBorder="1" applyAlignment="1">
      <alignment vertical="center"/>
    </xf>
    <xf numFmtId="164" fontId="16" fillId="9" borderId="32" xfId="0" applyNumberFormat="1" applyFont="1" applyFill="1" applyBorder="1" applyAlignment="1">
      <alignment vertical="center"/>
    </xf>
    <xf numFmtId="165" fontId="24" fillId="19" borderId="32" xfId="0" applyNumberFormat="1" applyFont="1" applyFill="1" applyBorder="1" applyAlignment="1">
      <alignment vertical="center"/>
    </xf>
    <xf numFmtId="167" fontId="29" fillId="9" borderId="32" xfId="0" applyNumberFormat="1" applyFont="1" applyFill="1" applyBorder="1" applyAlignment="1">
      <alignment vertical="center"/>
    </xf>
    <xf numFmtId="167" fontId="24" fillId="19" borderId="41" xfId="0" applyNumberFormat="1" applyFont="1" applyFill="1" applyBorder="1" applyAlignment="1">
      <alignment vertical="center"/>
    </xf>
    <xf numFmtId="0" fontId="29" fillId="15" borderId="39" xfId="0" applyFont="1" applyFill="1" applyBorder="1" applyAlignment="1">
      <alignment horizontal="left" vertical="center"/>
    </xf>
    <xf numFmtId="0" fontId="37" fillId="9" borderId="38" xfId="0" applyFont="1" applyFill="1" applyBorder="1" applyAlignment="1">
      <alignment horizontal="right" vertical="center"/>
    </xf>
    <xf numFmtId="0" fontId="37" fillId="19" borderId="38" xfId="0" applyFont="1" applyFill="1" applyBorder="1" applyAlignment="1">
      <alignment horizontal="right" vertical="center"/>
    </xf>
    <xf numFmtId="0" fontId="24" fillId="19" borderId="37" xfId="0" applyFont="1" applyFill="1" applyBorder="1" applyAlignment="1">
      <alignment horizontal="right" vertical="center"/>
    </xf>
    <xf numFmtId="0" fontId="16" fillId="16" borderId="38" xfId="0" applyFont="1" applyFill="1" applyBorder="1" applyAlignment="1">
      <alignment horizontal="left" vertical="center"/>
    </xf>
    <xf numFmtId="0" fontId="20" fillId="8" borderId="38" xfId="0" applyFont="1" applyFill="1" applyBorder="1" applyAlignment="1">
      <alignment horizontal="left" vertical="center"/>
    </xf>
    <xf numFmtId="0" fontId="24" fillId="9" borderId="38" xfId="0" applyFont="1" applyFill="1" applyBorder="1" applyAlignment="1">
      <alignment horizontal="right" vertical="center"/>
    </xf>
    <xf numFmtId="0" fontId="24" fillId="18" borderId="38" xfId="0" applyFont="1" applyFill="1" applyBorder="1" applyAlignment="1">
      <alignment horizontal="right" vertical="center"/>
    </xf>
    <xf numFmtId="164" fontId="29" fillId="18" borderId="32" xfId="0" applyNumberFormat="1" applyFont="1" applyFill="1" applyBorder="1" applyAlignment="1">
      <alignment vertical="center"/>
    </xf>
    <xf numFmtId="0" fontId="30" fillId="17" borderId="40" xfId="0" applyFont="1" applyFill="1" applyBorder="1" applyAlignment="1">
      <alignment horizontal="left" vertical="center"/>
    </xf>
    <xf numFmtId="0" fontId="24" fillId="9" borderId="37" xfId="0" applyFont="1" applyFill="1" applyBorder="1" applyAlignment="1">
      <alignment horizontal="right" vertical="center"/>
    </xf>
    <xf numFmtId="0" fontId="31" fillId="18" borderId="38" xfId="0" applyFont="1" applyFill="1" applyBorder="1" applyAlignment="1">
      <alignment horizontal="left" vertical="center"/>
    </xf>
    <xf numFmtId="165" fontId="29" fillId="18" borderId="32" xfId="0" applyNumberFormat="1" applyFont="1" applyFill="1" applyBorder="1" applyAlignment="1">
      <alignment vertical="center"/>
    </xf>
    <xf numFmtId="0" fontId="37" fillId="19" borderId="37" xfId="0" applyFont="1" applyFill="1" applyBorder="1" applyAlignment="1">
      <alignment horizontal="right" vertical="center"/>
    </xf>
    <xf numFmtId="0" fontId="38" fillId="11" borderId="22" xfId="0" applyFont="1" applyFill="1" applyBorder="1" applyAlignment="1">
      <alignment horizontal="center"/>
    </xf>
    <xf numFmtId="0" fontId="22" fillId="11" borderId="22" xfId="0" applyFont="1" applyFill="1" applyBorder="1"/>
    <xf numFmtId="0" fontId="39" fillId="8" borderId="26" xfId="0" applyFont="1" applyFill="1" applyBorder="1" applyAlignment="1">
      <alignment horizontal="center"/>
    </xf>
    <xf numFmtId="0" fontId="22" fillId="8" borderId="26" xfId="0" applyFont="1" applyFill="1" applyBorder="1"/>
    <xf numFmtId="0" fontId="31" fillId="18" borderId="24" xfId="0" applyFont="1" applyFill="1" applyBorder="1" applyAlignment="1">
      <alignment horizontal="center"/>
    </xf>
    <xf numFmtId="0" fontId="40" fillId="20" borderId="29" xfId="0" applyFont="1" applyFill="1" applyBorder="1" applyAlignment="1">
      <alignment horizontal="center"/>
    </xf>
    <xf numFmtId="0" fontId="0" fillId="9" borderId="4" xfId="0" applyFill="1" applyBorder="1" applyAlignment="1"/>
    <xf numFmtId="166" fontId="41" fillId="11" borderId="4" xfId="0" applyNumberFormat="1" applyFont="1" applyFill="1" applyBorder="1" applyAlignment="1">
      <alignment horizontal="center" vertical="center"/>
    </xf>
    <xf numFmtId="0" fontId="42" fillId="9" borderId="4" xfId="0" applyFont="1" applyFill="1" applyBorder="1" applyAlignment="1">
      <alignment horizontal="center"/>
    </xf>
    <xf numFmtId="167" fontId="41" fillId="11" borderId="4" xfId="0" applyNumberFormat="1" applyFont="1" applyFill="1" applyBorder="1" applyAlignment="1">
      <alignment horizontal="center" vertical="center"/>
    </xf>
    <xf numFmtId="165" fontId="43" fillId="8" borderId="4" xfId="0" applyNumberFormat="1" applyFont="1" applyFill="1" applyBorder="1" applyAlignment="1">
      <alignment horizontal="center" vertical="center"/>
    </xf>
    <xf numFmtId="166" fontId="44" fillId="18" borderId="28" xfId="0" applyNumberFormat="1" applyFont="1" applyFill="1" applyBorder="1" applyAlignment="1">
      <alignment horizontal="center" vertical="center"/>
    </xf>
    <xf numFmtId="165" fontId="42" fillId="9" borderId="28" xfId="0" applyNumberFormat="1" applyFont="1" applyFill="1" applyBorder="1" applyAlignment="1">
      <alignment horizontal="center"/>
    </xf>
    <xf numFmtId="165" fontId="44" fillId="18" borderId="28" xfId="0" applyNumberFormat="1" applyFont="1" applyFill="1" applyBorder="1" applyAlignment="1">
      <alignment horizontal="center" vertical="center"/>
    </xf>
    <xf numFmtId="166" fontId="42" fillId="9" borderId="28" xfId="0" applyNumberFormat="1" applyFont="1" applyFill="1" applyBorder="1" applyAlignment="1">
      <alignment horizontal="center"/>
    </xf>
    <xf numFmtId="166" fontId="45" fillId="20" borderId="30" xfId="0" applyNumberFormat="1" applyFont="1" applyFill="1" applyBorder="1" applyAlignment="1">
      <alignment horizontal="center" vertical="center"/>
    </xf>
    <xf numFmtId="166" fontId="42" fillId="9" borderId="3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575C39A-3EBB-A14C-8932-8FA9D2B1DD8D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showGridLines="0" tabSelected="1" zoomScale="125" workbookViewId="0">
      <pane ySplit="6" topLeftCell="A7" activePane="bottomLeft" state="frozen"/>
      <selection pane="bottomLeft" activeCell="H26" sqref="H26"/>
    </sheetView>
  </sheetViews>
  <sheetFormatPr baseColWidth="10" defaultColWidth="11.1640625" defaultRowHeight="15" customHeight="1"/>
  <cols>
    <col min="1" max="1" width="33.33203125" customWidth="1"/>
    <col min="2" max="2" width="20" customWidth="1"/>
    <col min="3" max="3" width="11.6640625" customWidth="1"/>
    <col min="4" max="9" width="15" customWidth="1"/>
    <col min="10" max="10" width="1.6640625" customWidth="1"/>
    <col min="11" max="12" width="15.83203125" customWidth="1"/>
    <col min="13" max="26" width="10.5" customWidth="1"/>
  </cols>
  <sheetData>
    <row r="1" spans="1:10" ht="14" customHeight="1">
      <c r="A1" s="95"/>
      <c r="B1" s="94"/>
      <c r="C1" s="94"/>
      <c r="D1" s="94"/>
      <c r="E1" s="94"/>
      <c r="F1" s="94"/>
      <c r="G1" s="94"/>
      <c r="H1" s="94"/>
      <c r="I1" s="94"/>
      <c r="J1" s="125"/>
    </row>
    <row r="2" spans="1:10" ht="8" customHeight="1">
      <c r="A2" s="91"/>
      <c r="B2" s="91"/>
      <c r="C2" s="91"/>
      <c r="D2" s="91"/>
      <c r="E2" s="91"/>
      <c r="F2" s="91"/>
      <c r="G2" s="91"/>
      <c r="H2" s="91"/>
      <c r="I2" s="91"/>
      <c r="J2" s="91"/>
    </row>
    <row r="3" spans="1:10" ht="17" thickBot="1">
      <c r="A3" s="96" t="s">
        <v>36</v>
      </c>
      <c r="B3" s="92"/>
      <c r="C3" s="92"/>
      <c r="D3" s="92"/>
      <c r="E3" s="92"/>
      <c r="F3" s="92"/>
      <c r="G3" s="92"/>
      <c r="H3" s="92"/>
      <c r="I3" s="92"/>
      <c r="J3" s="92"/>
    </row>
    <row r="4" spans="1:10" ht="24" customHeight="1" thickBot="1">
      <c r="A4" s="97" t="s">
        <v>92</v>
      </c>
      <c r="B4" s="99">
        <v>5000</v>
      </c>
      <c r="C4" s="97" t="s">
        <v>93</v>
      </c>
      <c r="D4" s="100">
        <v>24</v>
      </c>
      <c r="E4" s="98" t="s">
        <v>141</v>
      </c>
      <c r="F4" s="101" t="s">
        <v>146</v>
      </c>
      <c r="G4" s="91"/>
      <c r="H4" s="91"/>
      <c r="I4" s="91"/>
      <c r="J4" s="91"/>
    </row>
    <row r="5" spans="1:10" ht="14" customHeight="1">
      <c r="A5" s="102" t="s">
        <v>94</v>
      </c>
      <c r="B5" s="91"/>
      <c r="C5" s="102" t="s">
        <v>95</v>
      </c>
      <c r="D5" s="91"/>
      <c r="E5" s="102" t="s">
        <v>142</v>
      </c>
      <c r="F5" s="91"/>
      <c r="G5" s="91"/>
      <c r="H5" s="91"/>
      <c r="I5" s="91"/>
      <c r="J5" s="91"/>
    </row>
    <row r="6" spans="1:10" ht="6" customHeight="1">
      <c r="A6" s="91"/>
      <c r="B6" s="91"/>
      <c r="C6" s="91"/>
      <c r="D6" s="91"/>
      <c r="E6" s="91"/>
      <c r="F6" s="91"/>
      <c r="G6" s="91"/>
      <c r="H6" s="91"/>
      <c r="I6" s="91"/>
      <c r="J6" s="91"/>
    </row>
    <row r="7" spans="1:10" ht="26" customHeight="1" thickBot="1">
      <c r="A7" s="126" t="s">
        <v>96</v>
      </c>
      <c r="B7" s="128"/>
      <c r="C7" s="91"/>
      <c r="D7" s="103" t="s">
        <v>123</v>
      </c>
      <c r="E7" s="103"/>
      <c r="F7" s="103"/>
      <c r="G7" s="103"/>
      <c r="H7" s="103"/>
      <c r="I7" s="103"/>
      <c r="J7" s="171"/>
    </row>
    <row r="8" spans="1:10" ht="20" customHeight="1">
      <c r="A8" s="151" t="s">
        <v>97</v>
      </c>
      <c r="B8" s="129"/>
      <c r="C8" s="91"/>
      <c r="D8" s="165" t="s">
        <v>124</v>
      </c>
      <c r="E8" s="104"/>
      <c r="F8" s="165" t="s">
        <v>150</v>
      </c>
      <c r="G8" s="166"/>
      <c r="H8" s="167" t="s">
        <v>125</v>
      </c>
      <c r="I8" s="168"/>
      <c r="J8" s="90"/>
    </row>
    <row r="9" spans="1:10" ht="20" customHeight="1">
      <c r="A9" s="152" t="s">
        <v>98</v>
      </c>
      <c r="B9" s="130">
        <f>INDEX(Premissas!B34:B53,MATCH(B4,Premissas!A34:A53,0))</f>
        <v>0.29980000000000001</v>
      </c>
      <c r="C9" s="91"/>
      <c r="D9" s="172">
        <f>B24</f>
        <v>49560.272999999979</v>
      </c>
      <c r="E9" s="173"/>
      <c r="F9" s="174">
        <f>B25</f>
        <v>1.6520090999999997</v>
      </c>
      <c r="G9" s="173"/>
      <c r="H9" s="175">
        <f>B22</f>
        <v>0.37271327990727043</v>
      </c>
      <c r="I9" s="173"/>
      <c r="J9" s="90"/>
    </row>
    <row r="10" spans="1:10" ht="20" customHeight="1" thickBot="1">
      <c r="A10" s="153" t="s">
        <v>99</v>
      </c>
      <c r="B10" s="131">
        <f>B9*B4*INDEX(Premissas!E34:E53,MATCH(B4,Premissas!A34:A53,0))</f>
        <v>1499</v>
      </c>
      <c r="C10" s="91"/>
      <c r="D10" s="105"/>
      <c r="E10" s="105"/>
      <c r="F10" s="106"/>
      <c r="G10" s="106"/>
      <c r="H10" s="107"/>
      <c r="I10" s="107"/>
      <c r="J10" s="90"/>
    </row>
    <row r="11" spans="1:10" ht="17" thickBot="1">
      <c r="A11" s="152" t="s">
        <v>100</v>
      </c>
      <c r="B11" s="132">
        <f>INDEX(Premissas!D34:D53,MATCH(B4,Premissas!A34:A53,0))</f>
        <v>357.19</v>
      </c>
      <c r="C11" s="91"/>
      <c r="D11" s="91"/>
      <c r="E11" s="91"/>
      <c r="F11" s="91"/>
      <c r="G11" s="91"/>
      <c r="H11" s="91"/>
      <c r="I11" s="91"/>
      <c r="J11" s="90"/>
    </row>
    <row r="12" spans="1:10" ht="20" customHeight="1">
      <c r="A12" s="154" t="s">
        <v>101</v>
      </c>
      <c r="B12" s="133">
        <f>B10+B11</f>
        <v>1856.19</v>
      </c>
      <c r="C12" s="91"/>
      <c r="D12" s="169" t="s">
        <v>126</v>
      </c>
      <c r="E12" s="169"/>
      <c r="F12" s="169" t="s">
        <v>149</v>
      </c>
      <c r="G12" s="169"/>
      <c r="H12" s="170" t="s">
        <v>127</v>
      </c>
      <c r="I12" s="170"/>
      <c r="J12" s="90"/>
    </row>
    <row r="13" spans="1:10" ht="20" customHeight="1" thickBot="1">
      <c r="A13" s="155" t="s">
        <v>102</v>
      </c>
      <c r="B13" s="134"/>
      <c r="C13" s="91"/>
      <c r="D13" s="176">
        <f>B37</f>
        <v>23059.448369999984</v>
      </c>
      <c r="E13" s="177"/>
      <c r="F13" s="178">
        <f>B38</f>
        <v>0.46528089887640434</v>
      </c>
      <c r="G13" s="179"/>
      <c r="H13" s="180">
        <f>B12*B23</f>
        <v>11137.14</v>
      </c>
      <c r="I13" s="181"/>
      <c r="J13" s="90"/>
    </row>
    <row r="14" spans="1:10" ht="20" customHeight="1">
      <c r="A14" s="152" t="s">
        <v>33</v>
      </c>
      <c r="B14" s="135">
        <f>INDEX(Premissas!C34:C53,MATCH(B4,Premissas!A34:A53,0))</f>
        <v>0.5</v>
      </c>
      <c r="C14" s="91"/>
      <c r="D14" s="91"/>
      <c r="E14" s="91"/>
      <c r="F14" s="91"/>
      <c r="G14" s="90"/>
      <c r="H14" s="90"/>
      <c r="I14" s="90"/>
      <c r="J14" s="90"/>
    </row>
    <row r="15" spans="1:10" ht="20" customHeight="1">
      <c r="A15" s="153" t="s">
        <v>37</v>
      </c>
      <c r="B15" s="136">
        <f>1-B14-Premissas!B4-Premissas!B5-Premissas!B6</f>
        <v>0.19000000000000003</v>
      </c>
      <c r="C15" s="91"/>
      <c r="G15" s="90"/>
      <c r="H15" s="90"/>
      <c r="I15" s="90"/>
      <c r="J15" s="90"/>
    </row>
    <row r="16" spans="1:10" ht="20" customHeight="1">
      <c r="A16" s="152" t="s">
        <v>103</v>
      </c>
      <c r="B16" s="130">
        <f>B12/B4/B15</f>
        <v>1.9538842105263154</v>
      </c>
      <c r="C16" s="91"/>
      <c r="D16" s="84" t="s">
        <v>148</v>
      </c>
      <c r="E16" s="93"/>
      <c r="F16" s="93"/>
      <c r="G16" s="90"/>
      <c r="H16" s="90"/>
      <c r="I16" s="90"/>
      <c r="J16" s="90"/>
    </row>
    <row r="17" spans="1:10" ht="20" customHeight="1">
      <c r="A17" s="154" t="s">
        <v>104</v>
      </c>
      <c r="B17" s="133">
        <f>B16*B4</f>
        <v>9769.4210526315765</v>
      </c>
      <c r="C17" s="91"/>
      <c r="D17" s="108" t="s">
        <v>128</v>
      </c>
      <c r="E17" s="108" t="s">
        <v>129</v>
      </c>
      <c r="F17" s="108" t="s">
        <v>130</v>
      </c>
      <c r="G17" s="90"/>
      <c r="H17" s="90"/>
      <c r="I17" s="90"/>
      <c r="J17" s="90"/>
    </row>
    <row r="18" spans="1:10" ht="20" customHeight="1">
      <c r="A18" s="156" t="s">
        <v>105</v>
      </c>
      <c r="B18" s="137"/>
      <c r="C18" s="91"/>
      <c r="D18" s="110" t="s">
        <v>131</v>
      </c>
      <c r="E18" s="109">
        <f>B9</f>
        <v>0.29980000000000001</v>
      </c>
      <c r="F18" s="111">
        <f>E18/B25</f>
        <v>0.18147599792277178</v>
      </c>
      <c r="G18" s="90"/>
      <c r="H18" s="90"/>
      <c r="I18" s="90"/>
      <c r="J18" s="90"/>
    </row>
    <row r="19" spans="1:10" ht="20" customHeight="1">
      <c r="A19" s="152" t="s">
        <v>106</v>
      </c>
      <c r="B19" s="138">
        <f>IF(D4=4,0,INDEX(Premissas!B9:B20,MATCH(D4,{8,12,16,20,24,28,32,36,40,44,48,52},0)))</f>
        <v>0.11</v>
      </c>
      <c r="C19" s="91"/>
      <c r="D19" s="112" t="s">
        <v>132</v>
      </c>
      <c r="E19" s="116">
        <f>B11/B4</f>
        <v>7.1438000000000001E-2</v>
      </c>
      <c r="F19" s="113">
        <f>E19/B25</f>
        <v>4.3243103200823779E-2</v>
      </c>
      <c r="G19" s="90"/>
      <c r="H19" s="90"/>
      <c r="I19" s="90"/>
      <c r="J19" s="90"/>
    </row>
    <row r="20" spans="1:10" ht="20" customHeight="1">
      <c r="A20" s="153" t="s">
        <v>107</v>
      </c>
      <c r="B20" s="139">
        <f>1-(B16/Descontos!B$28)</f>
        <v>0.25808785323154393</v>
      </c>
      <c r="C20" s="91"/>
      <c r="D20" s="114" t="s">
        <v>10</v>
      </c>
      <c r="E20" s="118">
        <f>B25*B28</f>
        <v>9.9120545999999976E-2</v>
      </c>
      <c r="F20" s="115">
        <f>B28</f>
        <v>0.06</v>
      </c>
      <c r="G20" s="90"/>
      <c r="H20" s="90"/>
      <c r="I20" s="90"/>
      <c r="J20" s="90"/>
    </row>
    <row r="21" spans="1:10" ht="20" customHeight="1">
      <c r="A21" s="152" t="s">
        <v>143</v>
      </c>
      <c r="B21" s="138">
        <f>IF(F4="Pix",Premissas!B22,IF(F4="Boleto",Premissas!B23,IF(F4="Cartão",-Premissas!B24,0)))</f>
        <v>0.05</v>
      </c>
      <c r="C21" s="91"/>
      <c r="D21" s="112" t="s">
        <v>133</v>
      </c>
      <c r="E21" s="116">
        <f>B25*B30</f>
        <v>0.24780136499999994</v>
      </c>
      <c r="F21" s="113">
        <f>B30</f>
        <v>0.15</v>
      </c>
      <c r="G21" s="90"/>
      <c r="H21" s="90"/>
      <c r="I21" s="90"/>
      <c r="J21" s="90"/>
    </row>
    <row r="22" spans="1:10" ht="20" customHeight="1">
      <c r="A22" s="157" t="s">
        <v>108</v>
      </c>
      <c r="B22" s="138">
        <f>1-((1-B19)*(1-B20)*(1-B21))</f>
        <v>0.37271327990727043</v>
      </c>
      <c r="C22" s="91"/>
      <c r="D22" s="114" t="s">
        <v>134</v>
      </c>
      <c r="E22" s="117">
        <f>B25*B32</f>
        <v>0.16520090999999998</v>
      </c>
      <c r="F22" s="115">
        <f>B32</f>
        <v>0.1</v>
      </c>
      <c r="G22" s="90"/>
      <c r="H22" s="90"/>
      <c r="I22" s="90"/>
      <c r="J22" s="90"/>
    </row>
    <row r="23" spans="1:10" ht="20" customHeight="1">
      <c r="A23" s="153" t="s">
        <v>109</v>
      </c>
      <c r="B23" s="140">
        <f>D4/4</f>
        <v>6</v>
      </c>
      <c r="C23" s="91"/>
      <c r="D23" s="120" t="s">
        <v>135</v>
      </c>
      <c r="E23" s="119">
        <f>B25-E18-E19-E20-E21-E22</f>
        <v>0.76864827899999955</v>
      </c>
      <c r="F23" s="121">
        <f>1-F18-F19-F20-F21-F22</f>
        <v>0.46528089887640434</v>
      </c>
      <c r="G23" s="90"/>
      <c r="H23" s="90"/>
      <c r="I23" s="90"/>
      <c r="J23" s="90"/>
    </row>
    <row r="24" spans="1:10" ht="24" customHeight="1">
      <c r="A24" s="158" t="s">
        <v>144</v>
      </c>
      <c r="B24" s="159">
        <f>B17*B23*(1-B19)*(1-B21)</f>
        <v>49560.272999999979</v>
      </c>
      <c r="C24" s="91"/>
      <c r="D24" s="122" t="s">
        <v>136</v>
      </c>
      <c r="E24" s="123">
        <f>B25</f>
        <v>1.6520090999999997</v>
      </c>
      <c r="F24" s="124">
        <v>1</v>
      </c>
      <c r="G24" s="90"/>
      <c r="H24" s="90"/>
      <c r="I24" s="90"/>
      <c r="J24" s="90"/>
    </row>
    <row r="25" spans="1:10" ht="20" customHeight="1">
      <c r="A25" s="154" t="s">
        <v>145</v>
      </c>
      <c r="B25" s="141">
        <f>B16*(1-B19)*(1-B21)</f>
        <v>1.6520090999999997</v>
      </c>
      <c r="C25" s="91"/>
      <c r="G25" s="90"/>
      <c r="H25" s="90"/>
      <c r="I25" s="90"/>
      <c r="J25" s="90"/>
    </row>
    <row r="26" spans="1:10" ht="4" customHeight="1" thickBot="1">
      <c r="A26" s="127"/>
      <c r="B26" s="142"/>
      <c r="C26" s="91"/>
      <c r="D26" s="91"/>
      <c r="E26" s="91"/>
      <c r="F26" s="91"/>
      <c r="G26" s="91"/>
      <c r="H26" s="91"/>
      <c r="I26" s="91"/>
      <c r="J26" s="91"/>
    </row>
    <row r="27" spans="1:10" ht="20" customHeight="1">
      <c r="A27" s="160" t="s">
        <v>110</v>
      </c>
      <c r="B27" s="143"/>
      <c r="C27" s="91"/>
      <c r="D27" s="91"/>
      <c r="E27" s="91"/>
      <c r="F27" s="91"/>
      <c r="G27" s="91"/>
      <c r="H27" s="91"/>
      <c r="I27" s="91"/>
      <c r="J27" s="91"/>
    </row>
    <row r="28" spans="1:10" ht="20" customHeight="1">
      <c r="A28" s="152" t="s">
        <v>10</v>
      </c>
      <c r="B28" s="135">
        <f>Premissas!B4</f>
        <v>0.06</v>
      </c>
      <c r="C28" s="91"/>
      <c r="D28" s="91"/>
      <c r="E28" s="91"/>
      <c r="F28" s="91"/>
      <c r="G28" s="91"/>
      <c r="H28" s="91"/>
      <c r="I28" s="91"/>
      <c r="J28" s="91"/>
    </row>
    <row r="29" spans="1:10" ht="20" customHeight="1">
      <c r="A29" s="153" t="s">
        <v>111</v>
      </c>
      <c r="B29" s="144">
        <f>B24*B28</f>
        <v>2973.6163799999986</v>
      </c>
      <c r="C29" s="91"/>
      <c r="D29" s="91"/>
      <c r="E29" s="91"/>
      <c r="F29" s="91"/>
      <c r="G29" s="91"/>
      <c r="H29" s="91"/>
      <c r="I29" s="91"/>
      <c r="J29" s="91"/>
    </row>
    <row r="30" spans="1:10" ht="20" customHeight="1">
      <c r="A30" s="152" t="s">
        <v>112</v>
      </c>
      <c r="B30" s="135">
        <f>Premissas!B5</f>
        <v>0.15</v>
      </c>
      <c r="C30" s="91"/>
      <c r="D30" s="91"/>
      <c r="E30" s="91"/>
      <c r="F30" s="91"/>
      <c r="G30" s="91"/>
      <c r="H30" s="91"/>
      <c r="I30" s="91"/>
      <c r="J30" s="91"/>
    </row>
    <row r="31" spans="1:10" ht="20" customHeight="1">
      <c r="A31" s="153" t="s">
        <v>113</v>
      </c>
      <c r="B31" s="144">
        <f>B24*B30</f>
        <v>7434.0409499999969</v>
      </c>
      <c r="C31" s="91"/>
      <c r="D31" s="91"/>
      <c r="E31" s="91"/>
      <c r="F31" s="91"/>
      <c r="G31" s="91"/>
      <c r="H31" s="91"/>
      <c r="I31" s="91"/>
      <c r="J31" s="91"/>
    </row>
    <row r="32" spans="1:10" ht="20" customHeight="1">
      <c r="A32" s="152" t="s">
        <v>114</v>
      </c>
      <c r="B32" s="135">
        <f>Premissas!B6</f>
        <v>0.1</v>
      </c>
      <c r="C32" s="91"/>
      <c r="D32" s="91"/>
      <c r="E32" s="91"/>
      <c r="F32" s="91"/>
      <c r="G32" s="91"/>
      <c r="H32" s="91"/>
      <c r="I32" s="91"/>
      <c r="J32" s="91"/>
    </row>
    <row r="33" spans="1:10" ht="20" customHeight="1">
      <c r="A33" s="153" t="s">
        <v>115</v>
      </c>
      <c r="B33" s="144">
        <f>B24*B32</f>
        <v>4956.0272999999979</v>
      </c>
      <c r="C33" s="91"/>
      <c r="D33" s="91"/>
      <c r="E33" s="91"/>
      <c r="F33" s="91"/>
      <c r="G33" s="91"/>
      <c r="H33" s="91"/>
      <c r="I33" s="91"/>
      <c r="J33" s="91"/>
    </row>
    <row r="34" spans="1:10" ht="20" customHeight="1">
      <c r="A34" s="161" t="s">
        <v>116</v>
      </c>
      <c r="B34" s="145">
        <f>B29+B31+B33</f>
        <v>15363.684629999992</v>
      </c>
      <c r="C34" s="91"/>
      <c r="D34" s="91"/>
      <c r="E34" s="91"/>
      <c r="F34" s="91"/>
      <c r="G34" s="91"/>
      <c r="H34" s="91"/>
      <c r="I34" s="91"/>
      <c r="J34" s="91"/>
    </row>
    <row r="35" spans="1:10" ht="20" customHeight="1">
      <c r="A35" s="162" t="s">
        <v>117</v>
      </c>
      <c r="B35" s="146"/>
      <c r="C35" s="91"/>
      <c r="D35" s="91"/>
      <c r="E35" s="91"/>
      <c r="F35" s="91"/>
      <c r="G35" s="91"/>
      <c r="H35" s="91"/>
      <c r="I35" s="91"/>
      <c r="J35" s="91"/>
    </row>
    <row r="36" spans="1:10" ht="20" customHeight="1">
      <c r="A36" s="157" t="s">
        <v>118</v>
      </c>
      <c r="B36" s="147">
        <f>B24-B34</f>
        <v>34196.588369999983</v>
      </c>
      <c r="C36" s="91"/>
      <c r="D36" s="91"/>
      <c r="E36" s="91"/>
      <c r="F36" s="91"/>
      <c r="G36" s="91"/>
      <c r="H36" s="91"/>
      <c r="I36" s="91"/>
      <c r="J36" s="91"/>
    </row>
    <row r="37" spans="1:10" ht="24" customHeight="1">
      <c r="A37" s="158" t="s">
        <v>119</v>
      </c>
      <c r="B37" s="159">
        <f>B36-(B12*B23)</f>
        <v>23059.448369999984</v>
      </c>
      <c r="C37" s="91"/>
      <c r="D37" s="91"/>
      <c r="E37" s="91"/>
      <c r="F37" s="91"/>
      <c r="G37" s="91"/>
      <c r="H37" s="91"/>
      <c r="I37" s="91"/>
      <c r="J37" s="91"/>
    </row>
    <row r="38" spans="1:10" ht="24" customHeight="1">
      <c r="A38" s="158" t="s">
        <v>137</v>
      </c>
      <c r="B38" s="163">
        <f>B37/B24</f>
        <v>0.46528089887640434</v>
      </c>
      <c r="C38" s="91"/>
      <c r="D38" s="91"/>
      <c r="E38" s="91"/>
      <c r="F38" s="91"/>
      <c r="G38" s="91"/>
      <c r="H38" s="91"/>
      <c r="I38" s="91"/>
      <c r="J38" s="91"/>
    </row>
    <row r="39" spans="1:10" ht="20" customHeight="1">
      <c r="A39" s="153" t="s">
        <v>120</v>
      </c>
      <c r="B39" s="148">
        <f>B14</f>
        <v>0.5</v>
      </c>
      <c r="C39" s="91"/>
      <c r="D39" s="91"/>
      <c r="E39" s="91"/>
      <c r="F39" s="91"/>
      <c r="G39" s="91"/>
      <c r="H39" s="91"/>
      <c r="I39" s="91"/>
      <c r="J39" s="91"/>
    </row>
    <row r="40" spans="1:10" ht="20" customHeight="1">
      <c r="A40" s="157" t="s">
        <v>121</v>
      </c>
      <c r="B40" s="149">
        <f>B37/(B4*B23)</f>
        <v>0.76864827899999943</v>
      </c>
      <c r="C40" s="91"/>
      <c r="D40" s="91"/>
      <c r="E40" s="91"/>
      <c r="F40" s="91"/>
      <c r="G40" s="91"/>
      <c r="H40" s="91"/>
      <c r="I40" s="91"/>
      <c r="J40" s="91"/>
    </row>
    <row r="41" spans="1:10" ht="20" customHeight="1">
      <c r="A41" s="164" t="s">
        <v>122</v>
      </c>
      <c r="B41" s="150">
        <f>B12/B4</f>
        <v>0.37123800000000001</v>
      </c>
      <c r="C41" s="91"/>
      <c r="D41" s="91"/>
      <c r="E41" s="91"/>
      <c r="F41" s="91"/>
      <c r="G41" s="91"/>
      <c r="H41" s="91"/>
      <c r="I41" s="91"/>
      <c r="J41" s="91"/>
    </row>
    <row r="42" spans="1:10" ht="15.75" customHeight="1">
      <c r="A42" s="83"/>
      <c r="B42" s="83"/>
    </row>
    <row r="43" spans="1:10" ht="15.75" customHeight="1">
      <c r="A43" s="83"/>
      <c r="B43" s="83"/>
    </row>
    <row r="44" spans="1:10" ht="15.75" customHeight="1">
      <c r="A44" s="83"/>
      <c r="B44" s="83"/>
    </row>
    <row r="45" spans="1:10" ht="15.75" customHeight="1">
      <c r="A45" s="83"/>
      <c r="B45" s="83"/>
    </row>
    <row r="46" spans="1:10" ht="15.75" customHeight="1">
      <c r="A46" s="83"/>
      <c r="B46" s="83"/>
    </row>
    <row r="47" spans="1:10" ht="15.75" customHeight="1">
      <c r="A47" s="83"/>
      <c r="B47" s="83"/>
    </row>
    <row r="48" spans="1:10" ht="15.75" customHeight="1">
      <c r="A48" s="83"/>
      <c r="B48" s="83"/>
    </row>
    <row r="49" spans="1:2" ht="15.75" customHeight="1">
      <c r="A49" s="83"/>
      <c r="B49" s="83"/>
    </row>
    <row r="50" spans="1:2" ht="15.75" customHeight="1">
      <c r="A50" s="83"/>
      <c r="B50" s="83"/>
    </row>
    <row r="51" spans="1:2" ht="15.75" customHeight="1">
      <c r="A51" s="83"/>
      <c r="B51" s="83"/>
    </row>
    <row r="52" spans="1:2" ht="15.75" customHeight="1">
      <c r="A52" s="83"/>
      <c r="B52" s="83"/>
    </row>
    <row r="53" spans="1:2" ht="15.75" customHeight="1">
      <c r="A53" s="83"/>
      <c r="B53" s="83"/>
    </row>
    <row r="54" spans="1:2" ht="15.75" customHeight="1">
      <c r="A54" s="83"/>
      <c r="B54" s="83"/>
    </row>
    <row r="55" spans="1:2" ht="15.75" customHeight="1">
      <c r="A55" s="83"/>
      <c r="B55" s="83"/>
    </row>
    <row r="56" spans="1:2" ht="15.75" customHeight="1">
      <c r="A56" s="83"/>
      <c r="B56" s="83"/>
    </row>
    <row r="57" spans="1:2" ht="15.75" customHeight="1">
      <c r="A57" s="83"/>
      <c r="B57" s="83"/>
    </row>
    <row r="58" spans="1:2" ht="15.75" customHeight="1">
      <c r="A58" s="83"/>
      <c r="B58" s="83"/>
    </row>
    <row r="59" spans="1:2" ht="15.75" customHeight="1">
      <c r="A59" s="83"/>
      <c r="B59" s="83"/>
    </row>
    <row r="60" spans="1:2" ht="15.75" customHeight="1">
      <c r="A60" s="83"/>
      <c r="B60" s="83"/>
    </row>
    <row r="61" spans="1:2" ht="15.75" customHeight="1">
      <c r="A61" s="83"/>
      <c r="B61" s="83"/>
    </row>
    <row r="62" spans="1:2" ht="15.75" customHeight="1">
      <c r="A62" s="83"/>
      <c r="B62" s="83"/>
    </row>
    <row r="63" spans="1:2" ht="15.75" customHeight="1">
      <c r="A63" s="83"/>
      <c r="B63" s="83"/>
    </row>
    <row r="64" spans="1:2" ht="15.75" customHeight="1">
      <c r="A64" s="83"/>
      <c r="B64" s="83"/>
    </row>
    <row r="65" spans="1:2" ht="15.75" customHeight="1">
      <c r="A65" s="83"/>
      <c r="B65" s="83"/>
    </row>
    <row r="66" spans="1:2" ht="15.75" customHeight="1">
      <c r="A66" s="83"/>
      <c r="B66" s="83"/>
    </row>
    <row r="67" spans="1:2" ht="15.75" customHeight="1">
      <c r="A67" s="83"/>
      <c r="B67" s="83"/>
    </row>
    <row r="68" spans="1:2" ht="15.75" customHeight="1">
      <c r="A68" s="83"/>
      <c r="B68" s="83"/>
    </row>
    <row r="69" spans="1:2" ht="15.75" customHeight="1">
      <c r="A69" s="83"/>
      <c r="B69" s="83"/>
    </row>
    <row r="70" spans="1:2" ht="15.75" customHeight="1">
      <c r="A70" s="83"/>
      <c r="B70" s="83"/>
    </row>
    <row r="71" spans="1:2" ht="15.75" customHeight="1">
      <c r="A71" s="83"/>
      <c r="B71" s="83"/>
    </row>
    <row r="72" spans="1:2" ht="15.75" customHeight="1">
      <c r="A72" s="83"/>
      <c r="B72" s="83"/>
    </row>
    <row r="73" spans="1:2" ht="15.75" customHeight="1">
      <c r="A73" s="83"/>
      <c r="B73" s="83"/>
    </row>
    <row r="74" spans="1:2" ht="15.75" customHeight="1">
      <c r="A74" s="83"/>
      <c r="B74" s="83"/>
    </row>
    <row r="75" spans="1:2" ht="15.75" customHeight="1">
      <c r="A75" s="83"/>
      <c r="B75" s="83"/>
    </row>
    <row r="76" spans="1:2" ht="15.75" customHeight="1"/>
    <row r="77" spans="1:2" ht="15.75" customHeight="1"/>
    <row r="78" spans="1:2" ht="15.75" customHeight="1"/>
    <row r="79" spans="1:2" ht="15.75" customHeight="1"/>
    <row r="80" spans="1: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0">
    <mergeCell ref="F12:G12"/>
    <mergeCell ref="F13:G13"/>
    <mergeCell ref="H12:I12"/>
    <mergeCell ref="H13:I13"/>
    <mergeCell ref="D7:I7"/>
    <mergeCell ref="D16:F16"/>
    <mergeCell ref="A1:J1"/>
    <mergeCell ref="A3:J3"/>
    <mergeCell ref="A7:B7"/>
    <mergeCell ref="D8:E8"/>
    <mergeCell ref="D9:E9"/>
    <mergeCell ref="D10:E10"/>
    <mergeCell ref="F8:G8"/>
    <mergeCell ref="F9:G9"/>
    <mergeCell ref="F10:G10"/>
    <mergeCell ref="H8:I8"/>
    <mergeCell ref="H9:I9"/>
    <mergeCell ref="H10:I10"/>
    <mergeCell ref="D12:E12"/>
    <mergeCell ref="D13:E13"/>
  </mergeCells>
  <dataValidations count="3">
    <dataValidation type="list" allowBlank="1" showInputMessage="1" showErrorMessage="1" sqref="B4" xr:uid="{718D23D5-A35E-074D-8106-D5FF556249EF}">
      <formula1>"1000,2000,3000,4000,5000,6000,7000,8000,9000,10000,11000,12000,13000,14000,15000,16000,17000,18000,19000,20000"</formula1>
    </dataValidation>
    <dataValidation type="list" allowBlank="1" showInputMessage="1" showErrorMessage="1" sqref="D4" xr:uid="{91F4577D-8E7C-9A4C-8EDA-752FB2C25F18}">
      <formula1>"4,8,12,16,20,24,28,32,36,40,44,48,52"</formula1>
    </dataValidation>
    <dataValidation type="list" allowBlank="1" showInputMessage="1" showErrorMessage="1" errorTitle="Forma de Pagamento" error="Selecione: Pix, Boleto ou Cartão" sqref="F4" xr:uid="{6CD673FE-3770-A449-9211-C04788A86EFB}">
      <formula1>"Pix,Boleto,Cartão"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3"/>
  <sheetViews>
    <sheetView workbookViewId="0">
      <selection activeCell="A24" sqref="A24"/>
    </sheetView>
  </sheetViews>
  <sheetFormatPr baseColWidth="10" defaultColWidth="11.1640625" defaultRowHeight="15" customHeight="1"/>
  <cols>
    <col min="1" max="1" width="28.33203125" customWidth="1"/>
    <col min="2" max="5" width="21.6640625" customWidth="1"/>
    <col min="6" max="26" width="10.5" customWidth="1"/>
  </cols>
  <sheetData>
    <row r="1" spans="1:4" ht="15.75" customHeight="1">
      <c r="A1" s="14" t="s">
        <v>8</v>
      </c>
      <c r="B1" s="15"/>
      <c r="C1" s="15"/>
      <c r="D1" s="15"/>
    </row>
    <row r="2" spans="1:4" ht="15.75" customHeight="1"/>
    <row r="3" spans="1:4" ht="15.75" customHeight="1">
      <c r="A3" s="1" t="s">
        <v>9</v>
      </c>
      <c r="B3" s="2"/>
    </row>
    <row r="4" spans="1:4" ht="15.75" customHeight="1">
      <c r="A4" s="16" t="s">
        <v>10</v>
      </c>
      <c r="B4" s="17">
        <v>0.06</v>
      </c>
    </row>
    <row r="5" spans="1:4" ht="15.75" customHeight="1">
      <c r="A5" s="16" t="s">
        <v>11</v>
      </c>
      <c r="B5" s="18">
        <v>0.15</v>
      </c>
    </row>
    <row r="6" spans="1:4" ht="15.75" customHeight="1">
      <c r="A6" s="16" t="s">
        <v>12</v>
      </c>
      <c r="B6" s="17">
        <v>0.1</v>
      </c>
    </row>
    <row r="7" spans="1:4" ht="15.75" customHeight="1"/>
    <row r="8" spans="1:4" ht="15.75" customHeight="1">
      <c r="A8" s="1" t="s">
        <v>13</v>
      </c>
      <c r="B8" s="2"/>
    </row>
    <row r="9" spans="1:4" ht="15.75" customHeight="1">
      <c r="A9" s="16" t="s">
        <v>14</v>
      </c>
      <c r="B9" s="18">
        <v>0.03</v>
      </c>
    </row>
    <row r="10" spans="1:4" ht="15.75" customHeight="1">
      <c r="A10" s="16" t="s">
        <v>15</v>
      </c>
      <c r="B10" s="18">
        <v>0.05</v>
      </c>
    </row>
    <row r="11" spans="1:4" ht="15.75" customHeight="1">
      <c r="A11" s="16" t="s">
        <v>16</v>
      </c>
      <c r="B11" s="18">
        <v>7.0000000000000007E-2</v>
      </c>
    </row>
    <row r="12" spans="1:4" ht="15.75" customHeight="1">
      <c r="A12" s="19" t="s">
        <v>17</v>
      </c>
      <c r="B12" s="18">
        <v>0.09</v>
      </c>
    </row>
    <row r="13" spans="1:4" ht="15.75" customHeight="1">
      <c r="A13" s="19" t="s">
        <v>18</v>
      </c>
      <c r="B13" s="18">
        <v>0.11</v>
      </c>
    </row>
    <row r="14" spans="1:4" ht="15.75" customHeight="1">
      <c r="A14" s="19" t="s">
        <v>19</v>
      </c>
      <c r="B14" s="18">
        <v>0.13</v>
      </c>
    </row>
    <row r="15" spans="1:4" ht="15.75" customHeight="1">
      <c r="A15" s="19" t="s">
        <v>20</v>
      </c>
      <c r="B15" s="18">
        <v>0.15</v>
      </c>
    </row>
    <row r="16" spans="1:4" ht="15.75" customHeight="1">
      <c r="A16" s="19" t="s">
        <v>21</v>
      </c>
      <c r="B16" s="18">
        <v>0.17</v>
      </c>
    </row>
    <row r="17" spans="1:5" ht="15.75" customHeight="1">
      <c r="A17" s="19" t="s">
        <v>22</v>
      </c>
      <c r="B17" s="18">
        <v>0.19</v>
      </c>
    </row>
    <row r="18" spans="1:5" ht="15.75" customHeight="1">
      <c r="A18" s="19" t="s">
        <v>23</v>
      </c>
      <c r="B18" s="18">
        <v>0.21</v>
      </c>
    </row>
    <row r="19" spans="1:5" ht="15.75" customHeight="1">
      <c r="A19" s="19" t="s">
        <v>24</v>
      </c>
      <c r="B19" s="18">
        <v>0.23</v>
      </c>
    </row>
    <row r="20" spans="1:5" ht="15.75" customHeight="1">
      <c r="A20" s="19" t="s">
        <v>25</v>
      </c>
      <c r="B20" s="18">
        <v>0.25</v>
      </c>
    </row>
    <row r="21" spans="1:5" ht="15.75" customHeight="1">
      <c r="A21" s="85" t="s">
        <v>138</v>
      </c>
      <c r="B21" s="82"/>
    </row>
    <row r="22" spans="1:5" ht="15.75" customHeight="1">
      <c r="A22" s="86" t="s">
        <v>139</v>
      </c>
      <c r="B22" s="87">
        <v>0.05</v>
      </c>
    </row>
    <row r="23" spans="1:5" ht="15.75" customHeight="1">
      <c r="A23" s="86" t="s">
        <v>147</v>
      </c>
      <c r="B23" s="87">
        <v>0</v>
      </c>
    </row>
    <row r="24" spans="1:5" ht="15.75" customHeight="1">
      <c r="A24" s="88" t="s">
        <v>140</v>
      </c>
      <c r="B24" s="89">
        <v>0</v>
      </c>
    </row>
    <row r="25" spans="1:5" ht="15.75" customHeight="1">
      <c r="A25" s="88"/>
      <c r="B25" s="89"/>
    </row>
    <row r="26" spans="1:5" ht="15.75" customHeight="1">
      <c r="A26" s="1" t="s">
        <v>26</v>
      </c>
      <c r="B26" s="2"/>
    </row>
    <row r="27" spans="1:5" ht="15.75" customHeight="1">
      <c r="A27" s="16" t="s">
        <v>27</v>
      </c>
      <c r="B27" s="17"/>
    </row>
    <row r="28" spans="1:5" ht="15.75" customHeight="1">
      <c r="A28" s="16" t="s">
        <v>28</v>
      </c>
      <c r="B28" s="17"/>
    </row>
    <row r="29" spans="1:5" ht="15.75" customHeight="1">
      <c r="A29" s="16" t="s">
        <v>29</v>
      </c>
      <c r="B29" s="17"/>
    </row>
    <row r="30" spans="1:5" ht="15.75" customHeight="1">
      <c r="A30" s="16" t="s">
        <v>30</v>
      </c>
      <c r="B30" s="17"/>
    </row>
    <row r="31" spans="1:5" ht="15.75" customHeight="1"/>
    <row r="32" spans="1:5" ht="15.75" customHeight="1">
      <c r="A32" s="1" t="s">
        <v>31</v>
      </c>
      <c r="B32" s="2"/>
      <c r="C32" s="2"/>
      <c r="D32" s="2"/>
      <c r="E32" s="2"/>
    </row>
    <row r="33" spans="1:5" ht="15.75" customHeight="1">
      <c r="A33" s="3" t="s">
        <v>0</v>
      </c>
      <c r="B33" s="4" t="s">
        <v>32</v>
      </c>
      <c r="C33" s="4" t="s">
        <v>33</v>
      </c>
      <c r="D33" s="4" t="s">
        <v>34</v>
      </c>
      <c r="E33" s="5" t="s">
        <v>35</v>
      </c>
    </row>
    <row r="34" spans="1:5" ht="15.75" customHeight="1">
      <c r="A34" s="20">
        <v>1000</v>
      </c>
      <c r="B34" s="21">
        <v>0.41899999999999998</v>
      </c>
      <c r="C34" s="22">
        <v>0.5</v>
      </c>
      <c r="D34" s="23">
        <v>80.38</v>
      </c>
      <c r="E34" s="24">
        <v>1</v>
      </c>
    </row>
    <row r="35" spans="1:5" ht="15.75" customHeight="1">
      <c r="A35" s="25">
        <v>2000</v>
      </c>
      <c r="B35" s="26">
        <v>0.34949999999999998</v>
      </c>
      <c r="C35" s="27">
        <v>0.5</v>
      </c>
      <c r="D35" s="28">
        <v>138.16</v>
      </c>
      <c r="E35" s="29">
        <v>1</v>
      </c>
    </row>
    <row r="36" spans="1:5" ht="15.75" customHeight="1">
      <c r="A36" s="20">
        <v>3000</v>
      </c>
      <c r="B36" s="21">
        <v>0.33300000000000002</v>
      </c>
      <c r="C36" s="22">
        <v>0.5</v>
      </c>
      <c r="D36" s="23">
        <v>219.03</v>
      </c>
      <c r="E36" s="24">
        <v>1</v>
      </c>
    </row>
    <row r="37" spans="1:5" ht="15.75" customHeight="1">
      <c r="A37" s="25">
        <v>4000</v>
      </c>
      <c r="B37" s="26">
        <v>0.32479999999999998</v>
      </c>
      <c r="C37" s="27">
        <v>0.5</v>
      </c>
      <c r="D37" s="28">
        <v>299.41000000000003</v>
      </c>
      <c r="E37" s="29">
        <v>1</v>
      </c>
    </row>
    <row r="38" spans="1:5" ht="15.75" customHeight="1">
      <c r="A38" s="20">
        <v>5000</v>
      </c>
      <c r="B38" s="21">
        <v>0.29980000000000001</v>
      </c>
      <c r="C38" s="27">
        <v>0.5</v>
      </c>
      <c r="D38" s="23">
        <v>357.19</v>
      </c>
      <c r="E38" s="24">
        <v>1</v>
      </c>
    </row>
    <row r="39" spans="1:5" ht="15.75" customHeight="1">
      <c r="A39" s="25">
        <v>6000</v>
      </c>
      <c r="B39" s="26">
        <v>0.29980000000000001</v>
      </c>
      <c r="C39" s="27">
        <v>0.5</v>
      </c>
      <c r="D39" s="28">
        <v>438.06</v>
      </c>
      <c r="E39" s="29">
        <v>1</v>
      </c>
    </row>
    <row r="40" spans="1:5" ht="15.75" customHeight="1">
      <c r="A40" s="20">
        <v>7000</v>
      </c>
      <c r="B40" s="21">
        <v>0.29980000000000001</v>
      </c>
      <c r="C40" s="27">
        <v>0.5</v>
      </c>
      <c r="D40" s="23">
        <v>518.44000000000005</v>
      </c>
      <c r="E40" s="24">
        <v>1</v>
      </c>
    </row>
    <row r="41" spans="1:5" ht="15.75" customHeight="1">
      <c r="A41" s="25">
        <v>8000</v>
      </c>
      <c r="B41" s="26">
        <v>0.29980000000000001</v>
      </c>
      <c r="C41" s="27">
        <v>0.5</v>
      </c>
      <c r="D41" s="28">
        <v>576.22</v>
      </c>
      <c r="E41" s="29">
        <v>1</v>
      </c>
    </row>
    <row r="42" spans="1:5" ht="15.75" customHeight="1">
      <c r="A42" s="20">
        <v>9000</v>
      </c>
      <c r="B42" s="21">
        <v>0.29980000000000001</v>
      </c>
      <c r="C42" s="27">
        <v>0.5</v>
      </c>
      <c r="D42" s="23">
        <v>657.09</v>
      </c>
      <c r="E42" s="24">
        <v>1</v>
      </c>
    </row>
    <row r="43" spans="1:5" ht="15.75" customHeight="1">
      <c r="A43" s="25">
        <v>10000</v>
      </c>
      <c r="B43" s="26">
        <v>0.27</v>
      </c>
      <c r="C43" s="27">
        <v>0.5</v>
      </c>
      <c r="D43" s="28">
        <v>737.47</v>
      </c>
      <c r="E43" s="29">
        <v>1</v>
      </c>
    </row>
    <row r="44" spans="1:5" ht="15.75" customHeight="1">
      <c r="A44" s="20">
        <v>11000</v>
      </c>
      <c r="B44" s="21">
        <v>0.27</v>
      </c>
      <c r="C44" s="27">
        <v>0.5</v>
      </c>
      <c r="D44" s="23">
        <v>876.12</v>
      </c>
      <c r="E44" s="24">
        <v>1</v>
      </c>
    </row>
    <row r="45" spans="1:5" ht="15.75" customHeight="1">
      <c r="A45" s="25">
        <v>12000</v>
      </c>
      <c r="B45" s="26">
        <v>0.27</v>
      </c>
      <c r="C45" s="27">
        <v>0.5</v>
      </c>
      <c r="D45" s="28">
        <v>956.5</v>
      </c>
      <c r="E45" s="29">
        <v>1</v>
      </c>
    </row>
    <row r="46" spans="1:5" ht="15.75" customHeight="1">
      <c r="A46" s="20">
        <v>13000</v>
      </c>
      <c r="B46" s="21">
        <v>0.27</v>
      </c>
      <c r="C46" s="27">
        <v>0.5</v>
      </c>
      <c r="D46" s="23">
        <v>1094.6600000000001</v>
      </c>
      <c r="E46" s="24">
        <v>1</v>
      </c>
    </row>
    <row r="47" spans="1:5" ht="15.75" customHeight="1">
      <c r="A47" s="25">
        <v>14000</v>
      </c>
      <c r="B47" s="26">
        <v>0.27</v>
      </c>
      <c r="C47" s="27">
        <v>0.5</v>
      </c>
      <c r="D47" s="28">
        <v>1175.53</v>
      </c>
      <c r="E47" s="29">
        <v>1</v>
      </c>
    </row>
    <row r="48" spans="1:5" ht="15.75" customHeight="1">
      <c r="A48" s="20">
        <v>15000</v>
      </c>
      <c r="B48" s="21">
        <v>0.27</v>
      </c>
      <c r="C48" s="27">
        <v>0.5</v>
      </c>
      <c r="D48" s="23">
        <v>1255.9100000000001</v>
      </c>
      <c r="E48" s="24">
        <v>1</v>
      </c>
    </row>
    <row r="49" spans="1:5" ht="15.75" customHeight="1">
      <c r="A49" s="25">
        <v>16000</v>
      </c>
      <c r="B49" s="26">
        <v>0.27</v>
      </c>
      <c r="C49" s="27">
        <v>0.5</v>
      </c>
      <c r="D49" s="28">
        <v>1313.69</v>
      </c>
      <c r="E49" s="29">
        <v>1</v>
      </c>
    </row>
    <row r="50" spans="1:5" ht="15.75" customHeight="1">
      <c r="A50" s="20">
        <v>17000</v>
      </c>
      <c r="B50" s="21">
        <v>0.27</v>
      </c>
      <c r="C50" s="27">
        <v>0.5</v>
      </c>
      <c r="D50" s="23">
        <v>1394.56</v>
      </c>
      <c r="E50" s="24">
        <v>1</v>
      </c>
    </row>
    <row r="51" spans="1:5" ht="15.75" customHeight="1">
      <c r="A51" s="25">
        <v>18000</v>
      </c>
      <c r="B51" s="26">
        <v>0.27</v>
      </c>
      <c r="C51" s="27">
        <v>0.5</v>
      </c>
      <c r="D51" s="28">
        <v>1474.94</v>
      </c>
      <c r="E51" s="29">
        <v>1</v>
      </c>
    </row>
    <row r="52" spans="1:5" ht="15.75" customHeight="1">
      <c r="A52" s="20">
        <v>19000</v>
      </c>
      <c r="B52" s="21">
        <v>0.27</v>
      </c>
      <c r="C52" s="27">
        <v>0.5</v>
      </c>
      <c r="D52" s="23">
        <v>1532.72</v>
      </c>
      <c r="E52" s="24">
        <v>1</v>
      </c>
    </row>
    <row r="53" spans="1:5" ht="15.75" customHeight="1">
      <c r="A53" s="30">
        <v>20000</v>
      </c>
      <c r="B53" s="31">
        <v>0.26</v>
      </c>
      <c r="C53" s="27">
        <v>0.5</v>
      </c>
      <c r="D53" s="32">
        <v>1613.59</v>
      </c>
      <c r="E53" s="33">
        <v>1</v>
      </c>
    </row>
    <row r="54" spans="1:5" ht="15.75" customHeight="1"/>
    <row r="55" spans="1:5" ht="15.75" customHeight="1"/>
    <row r="56" spans="1:5" ht="15.75" customHeight="1"/>
    <row r="57" spans="1:5" ht="15.75" customHeight="1"/>
    <row r="58" spans="1:5" ht="15.75" customHeight="1"/>
    <row r="59" spans="1:5" ht="15.75" customHeight="1"/>
    <row r="60" spans="1:5" ht="15.75" customHeight="1"/>
    <row r="61" spans="1:5" ht="15.75" customHeight="1"/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workbookViewId="0">
      <selection activeCell="E38" sqref="E38"/>
    </sheetView>
  </sheetViews>
  <sheetFormatPr baseColWidth="10" defaultColWidth="11.1640625" defaultRowHeight="15" customHeight="1"/>
  <cols>
    <col min="1" max="17" width="20" customWidth="1"/>
    <col min="18" max="37" width="10.5" customWidth="1"/>
  </cols>
  <sheetData>
    <row r="1" spans="1:19" ht="15.75" customHeight="1">
      <c r="A1" s="45" t="s">
        <v>38</v>
      </c>
      <c r="B1" s="43"/>
      <c r="C1" s="43"/>
      <c r="D1" s="43"/>
      <c r="E1" s="43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3"/>
      <c r="R1" s="43"/>
      <c r="S1" s="44"/>
    </row>
    <row r="2" spans="1:19" ht="15.75" customHeight="1"/>
    <row r="3" spans="1:19" ht="15.75" customHeight="1">
      <c r="A3" s="1" t="s">
        <v>39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9" ht="34.5" customHeight="1">
      <c r="A4" s="3" t="s">
        <v>0</v>
      </c>
      <c r="B4" s="38" t="s">
        <v>40</v>
      </c>
      <c r="C4" s="39" t="s">
        <v>41</v>
      </c>
      <c r="D4" s="39" t="s">
        <v>42</v>
      </c>
      <c r="E4" s="51" t="s">
        <v>43</v>
      </c>
      <c r="F4" s="61" t="s">
        <v>49</v>
      </c>
      <c r="G4" s="61" t="s">
        <v>50</v>
      </c>
      <c r="H4" s="61" t="s">
        <v>51</v>
      </c>
      <c r="I4" s="61" t="s">
        <v>52</v>
      </c>
      <c r="J4" s="61" t="s">
        <v>53</v>
      </c>
      <c r="K4" s="61" t="s">
        <v>54</v>
      </c>
      <c r="L4" s="61" t="s">
        <v>55</v>
      </c>
      <c r="M4" s="61" t="s">
        <v>56</v>
      </c>
      <c r="N4" s="61" t="s">
        <v>57</v>
      </c>
      <c r="O4" s="69"/>
      <c r="P4" s="69"/>
      <c r="Q4" s="59" t="s">
        <v>44</v>
      </c>
    </row>
    <row r="5" spans="1:19" ht="15.75" customHeight="1">
      <c r="A5" s="9">
        <v>1000</v>
      </c>
      <c r="B5" s="10">
        <f>(Premissas!B34*Premissas!A34+Premissas!D34+Premissas!E34)/(1-Premissas!C34-Premissas!$B$4-Premissas!$B$5-Premissas!$B$6)</f>
        <v>2633.5789473684208</v>
      </c>
      <c r="C5" s="10">
        <f>B5*2*(1-Premissas!$B$9)</f>
        <v>5109.1431578947359</v>
      </c>
      <c r="D5" s="10">
        <f>B5*3*(1-Premissas!$B$10)</f>
        <v>7505.6999999999989</v>
      </c>
      <c r="E5" s="11">
        <f>B5*4*(1-Premissas!$B$11)</f>
        <v>9796.9136842105254</v>
      </c>
      <c r="F5" s="57">
        <f>B5*5*(1-Premissas!$B$12)</f>
        <v>11982.784210526313</v>
      </c>
      <c r="G5" s="57">
        <f>B5*6*(1-Premissas!$B$13)</f>
        <v>14063.311578947367</v>
      </c>
      <c r="H5" s="57">
        <f>B5*7*(1-Premissas!$B$14)</f>
        <v>16038.495789473684</v>
      </c>
      <c r="I5" s="57">
        <f>B5*8*(1-Premissas!$B$15)</f>
        <v>17908.336842105262</v>
      </c>
      <c r="J5" s="57">
        <f>B5*9*(1-Premissas!$B$16)</f>
        <v>19672.834736842102</v>
      </c>
      <c r="K5" s="57">
        <f>B5*10*(1-Premissas!$B$17)</f>
        <v>21331.989473684207</v>
      </c>
      <c r="L5" s="57">
        <f>B5*11*(1-Premissas!$B$18)</f>
        <v>22885.801052631577</v>
      </c>
      <c r="M5" s="57">
        <f>B5*12*(1-Premissas!$B$19)</f>
        <v>24334.26947368421</v>
      </c>
      <c r="N5" s="57">
        <f>B5*13*(1-Premissas!$B$20)</f>
        <v>25677.394736842107</v>
      </c>
      <c r="O5" s="62"/>
      <c r="P5" s="62"/>
      <c r="Q5" s="60">
        <f>1-(N5/(B5*13))</f>
        <v>0.25</v>
      </c>
    </row>
    <row r="6" spans="1:19" ht="15.75" customHeight="1">
      <c r="A6" s="6">
        <v>2000</v>
      </c>
      <c r="B6" s="7">
        <f>(Premissas!B35*Premissas!A35+Premissas!D35+Premissas!E35)/(1-Premissas!C35-Premissas!$B$4-Premissas!$B$5-Premissas!$B$6)</f>
        <v>4411.3684210526308</v>
      </c>
      <c r="C6" s="7">
        <f>B6*2*(1-Premissas!$B$9)</f>
        <v>8558.054736842103</v>
      </c>
      <c r="D6" s="7">
        <f>B6*3*(1-Premissas!$B$10)</f>
        <v>12572.399999999998</v>
      </c>
      <c r="E6" s="34">
        <f>B6*4*(1-Premissas!$B$11)</f>
        <v>16410.290526315785</v>
      </c>
      <c r="F6" s="58">
        <f>B6*5*(1-Premissas!$B$12)</f>
        <v>20071.72631578947</v>
      </c>
      <c r="G6" s="58">
        <f>B6*6*(1-Premissas!$B$13)</f>
        <v>23556.707368421052</v>
      </c>
      <c r="H6" s="58">
        <f>B6*7*(1-Premissas!$B$14)</f>
        <v>26865.233684210521</v>
      </c>
      <c r="I6" s="58">
        <f>B6*8*(1-Premissas!$B$15)</f>
        <v>29997.305263157887</v>
      </c>
      <c r="J6" s="58">
        <f>B6*9*(1-Premissas!$B$16)</f>
        <v>32952.922105263155</v>
      </c>
      <c r="K6" s="58">
        <f>B6*10*(1-Premissas!$B$17)</f>
        <v>35732.084210526307</v>
      </c>
      <c r="L6" s="58">
        <f>B6*11*(1-Premissas!$B$18)</f>
        <v>38334.791578947363</v>
      </c>
      <c r="M6" s="58">
        <f>B6*12*(1-Premissas!$B$19)</f>
        <v>40761.044210526314</v>
      </c>
      <c r="N6" s="58">
        <f>B6*13*(1-Premissas!$B$20)</f>
        <v>43010.842105263146</v>
      </c>
      <c r="O6" s="63"/>
      <c r="P6" s="63"/>
      <c r="Q6" s="60">
        <f>1-(N6/(B6*13))</f>
        <v>0.25000000000000011</v>
      </c>
    </row>
    <row r="7" spans="1:19" ht="15.75" customHeight="1">
      <c r="A7" s="9">
        <v>3000</v>
      </c>
      <c r="B7" s="10">
        <f>(Premissas!B36*Premissas!A36+Premissas!D36+Premissas!E36)/(1-Premissas!C36-Premissas!$B$4-Premissas!$B$5-Premissas!$B$6)</f>
        <v>6415.9473684210516</v>
      </c>
      <c r="C7" s="10">
        <f>B7*2*(1-Premissas!$B$9)</f>
        <v>12446.93789473684</v>
      </c>
      <c r="D7" s="10">
        <f>B7*3*(1-Premissas!$B$10)</f>
        <v>18285.449999999993</v>
      </c>
      <c r="E7" s="11">
        <f>B7*4*(1-Premissas!$B$11)</f>
        <v>23867.324210526309</v>
      </c>
      <c r="F7" s="57">
        <f>B7*5*(1-Premissas!$B$12)</f>
        <v>29192.560526315789</v>
      </c>
      <c r="G7" s="57">
        <f>B7*6*(1-Premissas!$B$13)</f>
        <v>34261.158947368414</v>
      </c>
      <c r="H7" s="57">
        <f>B7*7*(1-Premissas!$B$14)</f>
        <v>39073.119473684201</v>
      </c>
      <c r="I7" s="57">
        <f>B7*8*(1-Premissas!$B$15)</f>
        <v>43628.442105263151</v>
      </c>
      <c r="J7" s="57">
        <f>B7*9*(1-Premissas!$B$16)</f>
        <v>47927.126842105252</v>
      </c>
      <c r="K7" s="57">
        <f>B7*10*(1-Premissas!$B$17)</f>
        <v>51969.173684210524</v>
      </c>
      <c r="L7" s="57">
        <f>B7*11*(1-Premissas!$B$18)</f>
        <v>55754.582631578945</v>
      </c>
      <c r="M7" s="57">
        <f>B7*12*(1-Premissas!$B$19)</f>
        <v>59283.35368421051</v>
      </c>
      <c r="N7" s="57">
        <f>B7*13*(1-Premissas!$B$20)</f>
        <v>62555.486842105252</v>
      </c>
      <c r="O7" s="62"/>
      <c r="P7" s="62"/>
      <c r="Q7" s="60">
        <f>1-(N7/(B7*13))</f>
        <v>0.25</v>
      </c>
    </row>
    <row r="8" spans="1:19" ht="15.75" customHeight="1">
      <c r="A8" s="9">
        <v>4000</v>
      </c>
      <c r="B8" s="7">
        <f>(Premissas!B37*Premissas!A37+Premissas!D37+Premissas!E37)/(1-Premissas!C37-Premissas!$B$4-Premissas!$B$5-Premissas!$B$6)</f>
        <v>8418.9999999999982</v>
      </c>
      <c r="C8" s="7">
        <f>B8*2*(1-Premissas!$B$9)</f>
        <v>16332.859999999995</v>
      </c>
      <c r="D8" s="7">
        <f>B8*3*(1-Premissas!$B$10)</f>
        <v>23994.149999999991</v>
      </c>
      <c r="E8" s="34">
        <f>B8*4*(1-Premissas!$B$11)</f>
        <v>31318.679999999989</v>
      </c>
      <c r="F8" s="58">
        <f>B8*5*(1-Premissas!$B$12)</f>
        <v>38306.449999999997</v>
      </c>
      <c r="G8" s="58">
        <f>B8*6*(1-Premissas!$B$13)</f>
        <v>44957.459999999985</v>
      </c>
      <c r="H8" s="58">
        <f>B8*7*(1-Premissas!$B$14)</f>
        <v>51271.709999999985</v>
      </c>
      <c r="I8" s="58">
        <f>B8*8*(1-Premissas!$B$15)</f>
        <v>57249.199999999983</v>
      </c>
      <c r="J8" s="58">
        <f>B8*9*(1-Premissas!$B$16)</f>
        <v>62889.929999999986</v>
      </c>
      <c r="K8" s="58">
        <f>B8*10*(1-Premissas!$B$17)</f>
        <v>68193.899999999994</v>
      </c>
      <c r="L8" s="58">
        <f>B8*11*(1-Premissas!$B$18)</f>
        <v>73161.109999999986</v>
      </c>
      <c r="M8" s="58">
        <f>B8*12*(1-Premissas!$B$19)</f>
        <v>77791.559999999983</v>
      </c>
      <c r="N8" s="58">
        <f>B8*13*(1-Premissas!$B$20)</f>
        <v>82085.249999999971</v>
      </c>
      <c r="O8" s="63"/>
      <c r="P8" s="63"/>
      <c r="Q8" s="60">
        <f>1-(N8/(B8*13))</f>
        <v>0.25000000000000011</v>
      </c>
    </row>
    <row r="9" spans="1:19" ht="15.75" customHeight="1">
      <c r="A9" s="6">
        <v>5000</v>
      </c>
      <c r="B9" s="10">
        <f>(Premissas!B38*Premissas!A38+Premissas!D38+Premissas!E38)/(1-Premissas!C38-Premissas!$B$4-Premissas!$B$5-Premissas!$B$6)</f>
        <v>9774.6842105263149</v>
      </c>
      <c r="C9" s="10">
        <f>B9*2*(1-Premissas!$B$9)</f>
        <v>18962.887368421052</v>
      </c>
      <c r="D9" s="10">
        <f>B9*3*(1-Premissas!$B$10)</f>
        <v>27857.85</v>
      </c>
      <c r="E9" s="11">
        <f>B9*4*(1-Premissas!$B$11)</f>
        <v>36361.825263157887</v>
      </c>
      <c r="F9" s="57">
        <f>B9*5*(1-Premissas!$B$12)</f>
        <v>44474.813157894736</v>
      </c>
      <c r="G9" s="57">
        <f>B9*6*(1-Premissas!$B$13)</f>
        <v>52196.813684210523</v>
      </c>
      <c r="H9" s="57">
        <f>B9*7*(1-Premissas!$B$14)</f>
        <v>59527.826842105256</v>
      </c>
      <c r="I9" s="57">
        <f>B9*8*(1-Premissas!$B$15)</f>
        <v>66467.852631578935</v>
      </c>
      <c r="J9" s="57">
        <f>B9*9*(1-Premissas!$B$16)</f>
        <v>73016.891052631574</v>
      </c>
      <c r="K9" s="57">
        <f>B9*10*(1-Premissas!$B$17)</f>
        <v>79174.942105263151</v>
      </c>
      <c r="L9" s="57">
        <f>B9*11*(1-Premissas!$B$18)</f>
        <v>84942.005789473682</v>
      </c>
      <c r="M9" s="57">
        <f>B9*12*(1-Premissas!$B$19)</f>
        <v>90318.082105263151</v>
      </c>
      <c r="N9" s="57">
        <f>B9*13*(1-Premissas!$B$20)</f>
        <v>95303.171052631573</v>
      </c>
      <c r="O9" s="62"/>
      <c r="P9" s="62"/>
      <c r="Q9" s="60">
        <f>1-(N9/(B9*13))</f>
        <v>0.25</v>
      </c>
    </row>
    <row r="10" spans="1:19" ht="15.75" customHeight="1">
      <c r="A10" s="9">
        <v>6000</v>
      </c>
      <c r="B10" s="7">
        <f>(Premissas!B39*Premissas!A39+Premissas!D39+Premissas!E39)/(1-Premissas!C39-Premissas!$B$4-Premissas!$B$5-Premissas!$B$6)</f>
        <v>11778.210526315788</v>
      </c>
      <c r="C10" s="7">
        <f>B10*2*(1-Premissas!$B$9)</f>
        <v>22849.728421052627</v>
      </c>
      <c r="D10" s="7">
        <f>B10*3*(1-Premissas!$B$10)</f>
        <v>33567.899999999994</v>
      </c>
      <c r="E10" s="34">
        <f>B10*4*(1-Premissas!$B$11)</f>
        <v>43814.943157894726</v>
      </c>
      <c r="F10" s="58">
        <f>B10*5*(1-Premissas!$B$12)</f>
        <v>53590.857894736837</v>
      </c>
      <c r="G10" s="58">
        <f>B10*6*(1-Premissas!$B$13)</f>
        <v>62895.644210526312</v>
      </c>
      <c r="H10" s="58">
        <f>B10*7*(1-Premissas!$B$14)</f>
        <v>71729.302105263152</v>
      </c>
      <c r="I10" s="58">
        <f>B10*8*(1-Premissas!$B$15)</f>
        <v>80091.831578947356</v>
      </c>
      <c r="J10" s="58">
        <f>B10*9*(1-Premissas!$B$16)</f>
        <v>87983.232631578925</v>
      </c>
      <c r="K10" s="58">
        <f>B10*10*(1-Premissas!$B$17)</f>
        <v>95403.505263157887</v>
      </c>
      <c r="L10" s="58">
        <f>B10*11*(1-Premissas!$B$18)</f>
        <v>102352.6494736842</v>
      </c>
      <c r="M10" s="58">
        <f>B10*12*(1-Premissas!$B$19)</f>
        <v>108830.66526315789</v>
      </c>
      <c r="N10" s="58">
        <f>B10*13*(1-Premissas!$B$20)</f>
        <v>114837.55263157893</v>
      </c>
      <c r="O10" s="63"/>
      <c r="P10" s="63"/>
      <c r="Q10" s="60">
        <f>1-(N10/(B10*13))</f>
        <v>0.25</v>
      </c>
    </row>
    <row r="11" spans="1:19" ht="15.75" customHeight="1">
      <c r="A11" s="9">
        <v>7000</v>
      </c>
      <c r="B11" s="10">
        <f>(Premissas!B40*Premissas!A40+Premissas!D40+Premissas!E40)/(1-Premissas!C40-Premissas!$B$4-Premissas!$B$5-Premissas!$B$6)</f>
        <v>13779.15789473684</v>
      </c>
      <c r="C11" s="10">
        <f>B11*2*(1-Premissas!$B$9)</f>
        <v>26731.566315789467</v>
      </c>
      <c r="D11" s="10">
        <f>B11*3*(1-Premissas!$B$10)</f>
        <v>39270.599999999991</v>
      </c>
      <c r="E11" s="11">
        <f>B11*4*(1-Premissas!$B$11)</f>
        <v>51258.467368421043</v>
      </c>
      <c r="F11" s="57">
        <f>B11*5*(1-Premissas!$B$12)</f>
        <v>62695.168421052622</v>
      </c>
      <c r="G11" s="57">
        <f>B11*6*(1-Premissas!$B$13)</f>
        <v>73580.703157894721</v>
      </c>
      <c r="H11" s="57">
        <f>B11*7*(1-Premissas!$B$14)</f>
        <v>83915.071578947347</v>
      </c>
      <c r="I11" s="57">
        <f>B11*8*(1-Premissas!$B$15)</f>
        <v>93698.273684210508</v>
      </c>
      <c r="J11" s="57">
        <f>B11*9*(1-Premissas!$B$16)</f>
        <v>102930.30947368419</v>
      </c>
      <c r="K11" s="57">
        <f>B11*10*(1-Premissas!$B$17)</f>
        <v>111611.1789473684</v>
      </c>
      <c r="L11" s="57">
        <f>B11*11*(1-Premissas!$B$18)</f>
        <v>119740.88210526312</v>
      </c>
      <c r="M11" s="57">
        <f>B11*12*(1-Premissas!$B$19)</f>
        <v>127319.41894736841</v>
      </c>
      <c r="N11" s="57">
        <f>B11*13*(1-Premissas!$B$20)</f>
        <v>134346.78947368421</v>
      </c>
      <c r="O11" s="62"/>
      <c r="P11" s="62"/>
      <c r="Q11" s="60">
        <f>1-(N11/(B11*13))</f>
        <v>0.24999999999999989</v>
      </c>
    </row>
    <row r="12" spans="1:19" ht="15.75" customHeight="1">
      <c r="A12" s="6">
        <v>8000</v>
      </c>
      <c r="B12" s="7">
        <f>(Premissas!B41*Premissas!A41+Premissas!D41+Premissas!E41)/(1-Premissas!C41-Premissas!$B$4-Premissas!$B$5-Premissas!$B$6)</f>
        <v>15661.15789473684</v>
      </c>
      <c r="C12" s="7">
        <f>B12*2*(1-Premissas!$B$9)</f>
        <v>30382.646315789469</v>
      </c>
      <c r="D12" s="7">
        <f>B12*3*(1-Premissas!$B$10)</f>
        <v>44634.299999999988</v>
      </c>
      <c r="E12" s="34">
        <f>B12*4*(1-Premissas!$B$11)</f>
        <v>58259.507368421044</v>
      </c>
      <c r="F12" s="58">
        <f>B12*5*(1-Premissas!$B$12)</f>
        <v>71258.26842105262</v>
      </c>
      <c r="G12" s="58">
        <f>B12*6*(1-Premissas!$B$13)</f>
        <v>83630.583157894725</v>
      </c>
      <c r="H12" s="58">
        <f>B12*7*(1-Premissas!$B$14)</f>
        <v>95376.451578947352</v>
      </c>
      <c r="I12" s="58">
        <f>B12*8*(1-Premissas!$B$15)</f>
        <v>106495.87368421051</v>
      </c>
      <c r="J12" s="58">
        <f>B12*9*(1-Premissas!$B$16)</f>
        <v>116988.8494736842</v>
      </c>
      <c r="K12" s="58">
        <f>B12*10*(1-Premissas!$B$17)</f>
        <v>126855.37894736842</v>
      </c>
      <c r="L12" s="58">
        <f>B12*11*(1-Premissas!$B$18)</f>
        <v>136095.46210526314</v>
      </c>
      <c r="M12" s="58">
        <f>B12*12*(1-Premissas!$B$19)</f>
        <v>144709.09894736842</v>
      </c>
      <c r="N12" s="58">
        <f>B12*13*(1-Premissas!$B$20)</f>
        <v>152696.28947368421</v>
      </c>
      <c r="O12" s="63"/>
      <c r="P12" s="63"/>
      <c r="Q12" s="60">
        <f>1-(N12/(B12*13))</f>
        <v>0.24999999999999989</v>
      </c>
    </row>
    <row r="13" spans="1:19" ht="15.75" customHeight="1">
      <c r="A13" s="9">
        <v>9000</v>
      </c>
      <c r="B13" s="10">
        <f>(Premissas!B42*Premissas!A42+Premissas!D42+Premissas!E42)/(1-Premissas!C42-Premissas!$B$4-Premissas!$B$5-Premissas!$B$6)</f>
        <v>17664.684210526317</v>
      </c>
      <c r="C13" s="10">
        <f>B13*2*(1-Premissas!$B$9)</f>
        <v>34269.487368421054</v>
      </c>
      <c r="D13" s="10">
        <f>B13*3*(1-Premissas!$B$10)</f>
        <v>50344.35</v>
      </c>
      <c r="E13" s="11">
        <f>B13*4*(1-Premissas!$B$11)</f>
        <v>65712.625263157897</v>
      </c>
      <c r="F13" s="57">
        <f>B13*5*(1-Premissas!$B$12)</f>
        <v>80374.31315789475</v>
      </c>
      <c r="G13" s="57">
        <f>B13*6*(1-Premissas!$B$13)</f>
        <v>94329.413684210522</v>
      </c>
      <c r="H13" s="57">
        <f>B13*7*(1-Premissas!$B$14)</f>
        <v>107577.92684210527</v>
      </c>
      <c r="I13" s="57">
        <f>B13*8*(1-Premissas!$B$15)</f>
        <v>120119.85263157895</v>
      </c>
      <c r="J13" s="57">
        <f>B13*9*(1-Premissas!$B$16)</f>
        <v>131955.19105263159</v>
      </c>
      <c r="K13" s="57">
        <f>B13*10*(1-Premissas!$B$17)</f>
        <v>143083.94210526318</v>
      </c>
      <c r="L13" s="57">
        <f>B13*11*(1-Premissas!$B$18)</f>
        <v>153506.10578947372</v>
      </c>
      <c r="M13" s="57">
        <f>B13*12*(1-Premissas!$B$19)</f>
        <v>163221.68210526317</v>
      </c>
      <c r="N13" s="57">
        <f>B13*13*(1-Premissas!$B$20)</f>
        <v>172230.67105263157</v>
      </c>
      <c r="O13" s="62"/>
      <c r="P13" s="62"/>
      <c r="Q13" s="60">
        <f>1-(N13/(B13*13))</f>
        <v>0.25</v>
      </c>
    </row>
    <row r="14" spans="1:19" ht="15.75" customHeight="1">
      <c r="A14" s="9">
        <v>10000</v>
      </c>
      <c r="B14" s="7">
        <f>(Premissas!B43*Premissas!A43+Premissas!D43+Premissas!E43)/(1-Premissas!C43-Premissas!$B$4-Premissas!$B$5-Premissas!$B$6)</f>
        <v>18097.210526315786</v>
      </c>
      <c r="C14" s="7">
        <f>B14*2*(1-Premissas!$B$9)</f>
        <v>35108.588421052627</v>
      </c>
      <c r="D14" s="7">
        <f>B14*3*(1-Premissas!$B$10)</f>
        <v>51577.049999999988</v>
      </c>
      <c r="E14" s="34">
        <f>B14*4*(1-Premissas!$B$11)</f>
        <v>67321.623157894719</v>
      </c>
      <c r="F14" s="58">
        <f>B14*5*(1-Premissas!$B$12)</f>
        <v>82342.307894736834</v>
      </c>
      <c r="G14" s="58">
        <f>B14*6*(1-Premissas!$B$13)</f>
        <v>96639.104210526304</v>
      </c>
      <c r="H14" s="58">
        <f>B14*7*(1-Premissas!$B$14)</f>
        <v>110212.01210526314</v>
      </c>
      <c r="I14" s="58">
        <f>B14*8*(1-Premissas!$B$15)</f>
        <v>123061.03157894734</v>
      </c>
      <c r="J14" s="58">
        <f>B14*9*(1-Premissas!$B$16)</f>
        <v>135186.16263157892</v>
      </c>
      <c r="K14" s="58">
        <f>B14*10*(1-Premissas!$B$17)</f>
        <v>146587.40526315788</v>
      </c>
      <c r="L14" s="58">
        <f>B14*11*(1-Premissas!$B$18)</f>
        <v>157264.75947368419</v>
      </c>
      <c r="M14" s="58">
        <f>B14*12*(1-Premissas!$B$19)</f>
        <v>167218.22526315786</v>
      </c>
      <c r="N14" s="58">
        <f>B14*13*(1-Premissas!$B$20)</f>
        <v>176447.80263157893</v>
      </c>
      <c r="O14" s="63"/>
      <c r="P14" s="63"/>
      <c r="Q14" s="60">
        <f>1-(N14/(B14*13))</f>
        <v>0.24999999999999989</v>
      </c>
    </row>
    <row r="15" spans="1:19" ht="15.75" customHeight="1">
      <c r="A15" s="6">
        <v>11000</v>
      </c>
      <c r="B15" s="10">
        <f>(Premissas!B44*Premissas!A44+Premissas!D44+Premissas!E44)/(1-Premissas!C44-Premissas!$B$4-Premissas!$B$5-Premissas!$B$6)</f>
        <v>20247.999999999996</v>
      </c>
      <c r="C15" s="10">
        <f>B15*2*(1-Premissas!$B$9)</f>
        <v>39281.119999999995</v>
      </c>
      <c r="D15" s="10">
        <f>B15*3*(1-Premissas!$B$10)</f>
        <v>57706.799999999981</v>
      </c>
      <c r="E15" s="11">
        <f>B15*4*(1-Premissas!$B$11)</f>
        <v>75322.559999999983</v>
      </c>
      <c r="F15" s="57">
        <f>B15*5*(1-Premissas!$B$12)</f>
        <v>92128.4</v>
      </c>
      <c r="G15" s="57">
        <f>B15*6*(1-Premissas!$B$13)</f>
        <v>108124.31999999998</v>
      </c>
      <c r="H15" s="57">
        <f>B15*7*(1-Premissas!$B$14)</f>
        <v>123310.31999999998</v>
      </c>
      <c r="I15" s="57">
        <f>B15*8*(1-Premissas!$B$15)</f>
        <v>137686.39999999997</v>
      </c>
      <c r="J15" s="57">
        <f>B15*9*(1-Premissas!$B$16)</f>
        <v>151252.55999999997</v>
      </c>
      <c r="K15" s="57">
        <f>B15*10*(1-Premissas!$B$17)</f>
        <v>164008.79999999999</v>
      </c>
      <c r="L15" s="57">
        <f>B15*11*(1-Premissas!$B$18)</f>
        <v>175955.12</v>
      </c>
      <c r="M15" s="57">
        <f>B15*12*(1-Premissas!$B$19)</f>
        <v>187091.51999999996</v>
      </c>
      <c r="N15" s="57">
        <f>B15*13*(1-Premissas!$B$20)</f>
        <v>197417.99999999994</v>
      </c>
      <c r="O15" s="62"/>
      <c r="P15" s="62"/>
      <c r="Q15" s="60">
        <f>1-(N15/(B15*13))</f>
        <v>0.25</v>
      </c>
    </row>
    <row r="16" spans="1:19" ht="15.75" customHeight="1">
      <c r="A16" s="9">
        <v>12000</v>
      </c>
      <c r="B16" s="7">
        <f>(Premissas!B45*Premissas!A45+Premissas!D45+Premissas!E45)/(1-Premissas!C45-Premissas!$B$4-Premissas!$B$5-Premissas!$B$6)</f>
        <v>22092.10526315789</v>
      </c>
      <c r="C16" s="7">
        <f>B16*2*(1-Premissas!$B$9)</f>
        <v>42858.684210526306</v>
      </c>
      <c r="D16" s="7">
        <f>B16*3*(1-Premissas!$B$10)</f>
        <v>62962.499999999978</v>
      </c>
      <c r="E16" s="34">
        <f>B16*4*(1-Premissas!$B$11)</f>
        <v>82182.631578947345</v>
      </c>
      <c r="F16" s="58">
        <f>B16*5*(1-Premissas!$B$12)</f>
        <v>100519.0789473684</v>
      </c>
      <c r="G16" s="58">
        <f>B16*6*(1-Premissas!$B$13)</f>
        <v>117971.84210526313</v>
      </c>
      <c r="H16" s="58">
        <f>B16*7*(1-Premissas!$B$14)</f>
        <v>134540.92105263154</v>
      </c>
      <c r="I16" s="58">
        <f>B16*8*(1-Premissas!$B$15)</f>
        <v>150226.31578947365</v>
      </c>
      <c r="J16" s="58">
        <f>B16*9*(1-Premissas!$B$16)</f>
        <v>165028.02631578944</v>
      </c>
      <c r="K16" s="58">
        <f>B16*10*(1-Premissas!$B$17)</f>
        <v>178946.05263157893</v>
      </c>
      <c r="L16" s="58">
        <f>B16*11*(1-Premissas!$B$18)</f>
        <v>191980.39473684208</v>
      </c>
      <c r="M16" s="58">
        <f>B16*12*(1-Premissas!$B$19)</f>
        <v>204131.0526315789</v>
      </c>
      <c r="N16" s="58">
        <f>B16*13*(1-Premissas!$B$20)</f>
        <v>215398.02631578944</v>
      </c>
      <c r="O16" s="63"/>
      <c r="P16" s="63"/>
      <c r="Q16" s="60">
        <f>1-(N16/(B16*13))</f>
        <v>0.25</v>
      </c>
    </row>
    <row r="17" spans="1:17" ht="15.75" customHeight="1">
      <c r="A17" s="9">
        <v>13000</v>
      </c>
      <c r="B17" s="10">
        <f>(Premissas!B46*Premissas!A46+Premissas!D46+Premissas!E46)/(1-Premissas!C46-Premissas!$B$4-Premissas!$B$5-Premissas!$B$6)</f>
        <v>24240.315789473683</v>
      </c>
      <c r="C17" s="10">
        <f>B17*2*(1-Premissas!$B$9)</f>
        <v>47026.212631578943</v>
      </c>
      <c r="D17" s="10">
        <f>B17*3*(1-Premissas!$B$10)</f>
        <v>69084.899999999994</v>
      </c>
      <c r="E17" s="11">
        <f>B17*4*(1-Premissas!$B$11)</f>
        <v>90173.974736842094</v>
      </c>
      <c r="F17" s="57">
        <f>B17*5*(1-Premissas!$B$12)</f>
        <v>110293.43684210526</v>
      </c>
      <c r="G17" s="57">
        <f>B17*6*(1-Premissas!$B$13)</f>
        <v>129443.28631578948</v>
      </c>
      <c r="H17" s="57">
        <f>B17*7*(1-Premissas!$B$14)</f>
        <v>147623.52315789473</v>
      </c>
      <c r="I17" s="57">
        <f>B17*8*(1-Premissas!$B$15)</f>
        <v>164834.14736842105</v>
      </c>
      <c r="J17" s="57">
        <f>B17*9*(1-Premissas!$B$16)</f>
        <v>181075.15894736841</v>
      </c>
      <c r="K17" s="57">
        <f>B17*10*(1-Premissas!$B$17)</f>
        <v>196346.55789473685</v>
      </c>
      <c r="L17" s="57">
        <f>B17*11*(1-Premissas!$B$18)</f>
        <v>210648.34421052629</v>
      </c>
      <c r="M17" s="57">
        <f>B17*12*(1-Premissas!$B$19)</f>
        <v>223980.51789473684</v>
      </c>
      <c r="N17" s="57">
        <f>B17*13*(1-Premissas!$B$20)</f>
        <v>236343.0789473684</v>
      </c>
      <c r="O17" s="62"/>
      <c r="P17" s="62"/>
      <c r="Q17" s="60">
        <f>1-(N17/(B17*13))</f>
        <v>0.25</v>
      </c>
    </row>
    <row r="18" spans="1:17" ht="15.75" customHeight="1">
      <c r="A18" s="6">
        <v>14000</v>
      </c>
      <c r="B18" s="7">
        <f>(Premissas!B47*Premissas!A47+Premissas!D47+Premissas!E47)/(1-Premissas!C47-Premissas!$B$4-Premissas!$B$5-Premissas!$B$6)</f>
        <v>26087</v>
      </c>
      <c r="C18" s="7">
        <f>B18*2*(1-Premissas!$B$9)</f>
        <v>50608.78</v>
      </c>
      <c r="D18" s="7">
        <f>B18*3*(1-Premissas!$B$10)</f>
        <v>74347.95</v>
      </c>
      <c r="E18" s="34">
        <f>B18*4*(1-Premissas!$B$11)</f>
        <v>97043.64</v>
      </c>
      <c r="F18" s="58">
        <f>B18*5*(1-Premissas!$B$12)</f>
        <v>118695.85</v>
      </c>
      <c r="G18" s="58">
        <f>B18*6*(1-Premissas!$B$13)</f>
        <v>139304.58000000002</v>
      </c>
      <c r="H18" s="58">
        <f>B18*7*(1-Premissas!$B$14)</f>
        <v>158869.82999999999</v>
      </c>
      <c r="I18" s="58">
        <f>B18*8*(1-Premissas!$B$15)</f>
        <v>177391.6</v>
      </c>
      <c r="J18" s="58">
        <f>B18*9*(1-Premissas!$B$16)</f>
        <v>194869.88999999998</v>
      </c>
      <c r="K18" s="58">
        <f>B18*10*(1-Premissas!$B$17)</f>
        <v>211304.7</v>
      </c>
      <c r="L18" s="58">
        <f>B18*11*(1-Premissas!$B$18)</f>
        <v>226696.03</v>
      </c>
      <c r="M18" s="58">
        <f>B18*12*(1-Premissas!$B$19)</f>
        <v>241043.88</v>
      </c>
      <c r="N18" s="58">
        <f>B18*13*(1-Premissas!$B$20)</f>
        <v>254348.25</v>
      </c>
      <c r="O18" s="63"/>
      <c r="P18" s="63"/>
      <c r="Q18" s="60">
        <f>1-(N18/(B18*13))</f>
        <v>0.25</v>
      </c>
    </row>
    <row r="19" spans="1:17" ht="15.75" customHeight="1">
      <c r="A19" s="9">
        <v>15000</v>
      </c>
      <c r="B19" s="10">
        <f>(Premissas!B48*Premissas!A48+Premissas!D48+Premissas!E48)/(1-Premissas!C48-Premissas!$B$4-Premissas!$B$5-Premissas!$B$6)</f>
        <v>27931.105263157893</v>
      </c>
      <c r="C19" s="10">
        <f>B19*2*(1-Premissas!$B$9)</f>
        <v>54186.344210526309</v>
      </c>
      <c r="D19" s="10">
        <f>B19*3*(1-Premissas!$B$10)</f>
        <v>79603.649999999994</v>
      </c>
      <c r="E19" s="11">
        <f>B19*4*(1-Premissas!$B$11)</f>
        <v>103903.71157894736</v>
      </c>
      <c r="F19" s="57">
        <f>B19*5*(1-Premissas!$B$12)</f>
        <v>127086.52894736842</v>
      </c>
      <c r="G19" s="57">
        <f>B19*6*(1-Premissas!$B$13)</f>
        <v>149152.10210526315</v>
      </c>
      <c r="H19" s="57">
        <f>B19*7*(1-Premissas!$B$14)</f>
        <v>170100.43105263158</v>
      </c>
      <c r="I19" s="57">
        <f>B19*8*(1-Premissas!$B$15)</f>
        <v>189931.51578947366</v>
      </c>
      <c r="J19" s="57">
        <f>B19*9*(1-Premissas!$B$16)</f>
        <v>208645.35631578945</v>
      </c>
      <c r="K19" s="57">
        <f>B19*10*(1-Premissas!$B$17)</f>
        <v>226241.95263157896</v>
      </c>
      <c r="L19" s="57">
        <f>B19*11*(1-Premissas!$B$18)</f>
        <v>242721.30473684214</v>
      </c>
      <c r="M19" s="57">
        <f>B19*12*(1-Premissas!$B$19)</f>
        <v>258083.41263157895</v>
      </c>
      <c r="N19" s="57">
        <f>B19*13*(1-Premissas!$B$20)</f>
        <v>272328.27631578944</v>
      </c>
      <c r="O19" s="62"/>
      <c r="P19" s="62"/>
      <c r="Q19" s="60">
        <f>1-(N19/(B19*13))</f>
        <v>0.25</v>
      </c>
    </row>
    <row r="20" spans="1:17" ht="15.75" customHeight="1">
      <c r="A20" s="9">
        <v>16000</v>
      </c>
      <c r="B20" s="7">
        <f>(Premissas!B49*Premissas!A49+Premissas!D49+Premissas!E49)/(1-Premissas!C49-Premissas!$B$4-Premissas!$B$5-Premissas!$B$6)</f>
        <v>29656.263157894737</v>
      </c>
      <c r="C20" s="7">
        <f>B20*2*(1-Premissas!$B$9)</f>
        <v>57533.150526315789</v>
      </c>
      <c r="D20" s="7">
        <f>B20*3*(1-Premissas!$B$10)</f>
        <v>84520.35</v>
      </c>
      <c r="E20" s="34">
        <f>B20*4*(1-Premissas!$B$11)</f>
        <v>110321.29894736841</v>
      </c>
      <c r="F20" s="58">
        <f>B20*5*(1-Premissas!$B$12)</f>
        <v>134935.99736842106</v>
      </c>
      <c r="G20" s="58">
        <f>B20*6*(1-Premissas!$B$13)</f>
        <v>158364.44526315789</v>
      </c>
      <c r="H20" s="58">
        <f>B20*7*(1-Premissas!$B$14)</f>
        <v>180606.64263157893</v>
      </c>
      <c r="I20" s="58">
        <f>B20*8*(1-Premissas!$B$15)</f>
        <v>201662.5894736842</v>
      </c>
      <c r="J20" s="58">
        <f>B20*9*(1-Premissas!$B$16)</f>
        <v>221532.28578947368</v>
      </c>
      <c r="K20" s="58">
        <f>B20*10*(1-Premissas!$B$17)</f>
        <v>240215.73157894737</v>
      </c>
      <c r="L20" s="58">
        <f>B20*11*(1-Premissas!$B$18)</f>
        <v>257712.92684210525</v>
      </c>
      <c r="M20" s="58">
        <f>B20*12*(1-Premissas!$B$19)</f>
        <v>274023.87157894741</v>
      </c>
      <c r="N20" s="58">
        <f>B20*13*(1-Premissas!$B$20)</f>
        <v>289148.56578947371</v>
      </c>
      <c r="O20" s="63"/>
      <c r="P20" s="63"/>
      <c r="Q20" s="60">
        <f>1-(N20/(B20*13))</f>
        <v>0.24999999999999989</v>
      </c>
    </row>
    <row r="21" spans="1:17" ht="15.75" customHeight="1">
      <c r="A21" s="6">
        <v>17000</v>
      </c>
      <c r="B21" s="10">
        <f>(Premissas!B50*Premissas!A50+Premissas!D50+Premissas!E50)/(1-Premissas!C50-Premissas!$B$4-Premissas!$B$5-Premissas!$B$6)</f>
        <v>31502.947368421046</v>
      </c>
      <c r="C21" s="10">
        <f>B21*2*(1-Premissas!$B$9)</f>
        <v>61115.71789473683</v>
      </c>
      <c r="D21" s="10">
        <f>B21*3*(1-Premissas!$B$10)</f>
        <v>89783.39999999998</v>
      </c>
      <c r="E21" s="11">
        <f>B21*4*(1-Premissas!$B$11)</f>
        <v>117190.96421052629</v>
      </c>
      <c r="F21" s="57">
        <f>B21*5*(1-Premissas!$B$12)</f>
        <v>143338.41052631577</v>
      </c>
      <c r="G21" s="57">
        <f>B21*6*(1-Premissas!$B$13)</f>
        <v>168225.7389473684</v>
      </c>
      <c r="H21" s="57">
        <f>B21*7*(1-Premissas!$B$14)</f>
        <v>191852.94947368419</v>
      </c>
      <c r="I21" s="57">
        <f>B21*8*(1-Premissas!$B$15)</f>
        <v>214220.0421052631</v>
      </c>
      <c r="J21" s="57">
        <f>B21*9*(1-Premissas!$B$16)</f>
        <v>235327.01684210522</v>
      </c>
      <c r="K21" s="57">
        <f>B21*10*(1-Premissas!$B$17)</f>
        <v>255173.87368421047</v>
      </c>
      <c r="L21" s="57">
        <f>B21*11*(1-Premissas!$B$18)</f>
        <v>273760.61263157893</v>
      </c>
      <c r="M21" s="57">
        <f>B21*12*(1-Premissas!$B$19)</f>
        <v>291087.23368421051</v>
      </c>
      <c r="N21" s="57">
        <f>B21*13*(1-Premissas!$B$20)</f>
        <v>307153.73684210517</v>
      </c>
      <c r="O21" s="62"/>
      <c r="P21" s="62"/>
      <c r="Q21" s="60">
        <f>1-(N21/(B21*13))</f>
        <v>0.25000000000000011</v>
      </c>
    </row>
    <row r="22" spans="1:17" ht="15.75" customHeight="1">
      <c r="A22" s="9">
        <v>18000</v>
      </c>
      <c r="B22" s="7">
        <f>(Premissas!B51*Premissas!A51+Premissas!D51+Premissas!E51)/(1-Premissas!C51-Premissas!$B$4-Premissas!$B$5-Premissas!$B$6)</f>
        <v>33347.052631578947</v>
      </c>
      <c r="C22" s="7">
        <f>B22*2*(1-Premissas!$B$9)</f>
        <v>64693.282105263155</v>
      </c>
      <c r="D22" s="7">
        <f>B22*3*(1-Premissas!$B$10)</f>
        <v>95039.099999999991</v>
      </c>
      <c r="E22" s="34">
        <f>B22*4*(1-Premissas!$B$11)</f>
        <v>124051.03578947367</v>
      </c>
      <c r="F22" s="58">
        <f>B22*5*(1-Premissas!$B$12)</f>
        <v>151729.0894736842</v>
      </c>
      <c r="G22" s="58">
        <f>B22*6*(1-Premissas!$B$13)</f>
        <v>178073.26105263157</v>
      </c>
      <c r="H22" s="58">
        <f>B22*7*(1-Premissas!$B$14)</f>
        <v>203083.55052631578</v>
      </c>
      <c r="I22" s="58">
        <f>B22*8*(1-Premissas!$B$15)</f>
        <v>226759.95789473684</v>
      </c>
      <c r="J22" s="58">
        <f>B22*9*(1-Premissas!$B$16)</f>
        <v>249102.48315789472</v>
      </c>
      <c r="K22" s="58">
        <f>B22*10*(1-Premissas!$B$17)</f>
        <v>270111.12631578947</v>
      </c>
      <c r="L22" s="58">
        <f>B22*11*(1-Premissas!$B$18)</f>
        <v>289785.88736842107</v>
      </c>
      <c r="M22" s="58">
        <f>B22*12*(1-Premissas!$B$19)</f>
        <v>308126.76631578949</v>
      </c>
      <c r="N22" s="58">
        <f>B22*13*(1-Premissas!$B$20)</f>
        <v>325133.76315789472</v>
      </c>
      <c r="O22" s="63"/>
      <c r="P22" s="63"/>
      <c r="Q22" s="60">
        <f>1-(N22/(B22*13))</f>
        <v>0.25</v>
      </c>
    </row>
    <row r="23" spans="1:17" ht="15.75" customHeight="1">
      <c r="A23" s="9">
        <v>19000</v>
      </c>
      <c r="B23" s="10">
        <f>(Premissas!B52*Premissas!A52+Premissas!D52+Premissas!E52)/(1-Premissas!C52-Premissas!$B$4-Premissas!$B$5-Premissas!$B$6)</f>
        <v>35072.210526315786</v>
      </c>
      <c r="C23" s="10">
        <f>B23*2*(1-Premissas!$B$9)</f>
        <v>68040.088421052627</v>
      </c>
      <c r="D23" s="10">
        <f>B23*3*(1-Premissas!$B$10)</f>
        <v>99955.799999999988</v>
      </c>
      <c r="E23" s="11">
        <f>B23*4*(1-Premissas!$B$11)</f>
        <v>130468.62315789472</v>
      </c>
      <c r="F23" s="57">
        <f>B23*5*(1-Premissas!$B$12)</f>
        <v>159578.55789473682</v>
      </c>
      <c r="G23" s="57">
        <f>B23*6*(1-Premissas!$B$13)</f>
        <v>187285.6042105263</v>
      </c>
      <c r="H23" s="57">
        <f>B23*7*(1-Premissas!$B$14)</f>
        <v>213589.76210526313</v>
      </c>
      <c r="I23" s="57">
        <f>B23*8*(1-Premissas!$B$15)</f>
        <v>238491.03157894735</v>
      </c>
      <c r="J23" s="57">
        <f>B23*9*(1-Premissas!$B$16)</f>
        <v>261989.41263157892</v>
      </c>
      <c r="K23" s="57">
        <f>B23*10*(1-Premissas!$B$17)</f>
        <v>284084.90526315791</v>
      </c>
      <c r="L23" s="57">
        <f>B23*11*(1-Premissas!$B$18)</f>
        <v>304777.50947368419</v>
      </c>
      <c r="M23" s="57">
        <f>B23*12*(1-Premissas!$B$19)</f>
        <v>324067.22526315786</v>
      </c>
      <c r="N23" s="57">
        <f>B23*13*(1-Premissas!$B$20)</f>
        <v>341954.05263157893</v>
      </c>
      <c r="O23" s="62"/>
      <c r="P23" s="62"/>
      <c r="Q23" s="60">
        <f>1-(N23/(B23*13))</f>
        <v>0.25</v>
      </c>
    </row>
    <row r="24" spans="1:17" ht="15.75" customHeight="1">
      <c r="A24" s="6">
        <v>20000</v>
      </c>
      <c r="B24" s="36">
        <f>(Premissas!B53*Premissas!A53+Premissas!D53+Premissas!E53)/(1-Premissas!C53-Premissas!$B$4-Premissas!$B$5-Premissas!$B$6)</f>
        <v>35866.263157894733</v>
      </c>
      <c r="C24" s="36">
        <f>B24*2*(1-Premissas!$B$9)</f>
        <v>69580.550526315783</v>
      </c>
      <c r="D24" s="36">
        <f>B24*3*(1-Premissas!$B$10)</f>
        <v>102218.84999999999</v>
      </c>
      <c r="E24" s="37">
        <f>B24*4*(1-Premissas!$B$11)</f>
        <v>133422.49894736841</v>
      </c>
      <c r="F24" s="58">
        <f>B24*5*(1-Premissas!$B$12)</f>
        <v>163191.49736842103</v>
      </c>
      <c r="G24" s="58">
        <f>B24*6*(1-Premissas!$B$13)</f>
        <v>191525.84526315788</v>
      </c>
      <c r="H24" s="58">
        <f>B24*7*(1-Premissas!$B$14)</f>
        <v>218425.54263157892</v>
      </c>
      <c r="I24" s="58">
        <f>B24*8*(1-Premissas!$B$15)</f>
        <v>243890.58947368417</v>
      </c>
      <c r="J24" s="58">
        <f>B24*9*(1-Premissas!$B$16)</f>
        <v>267920.98578947363</v>
      </c>
      <c r="K24" s="58">
        <f>B24*10*(1-Premissas!$B$17)</f>
        <v>290516.73157894734</v>
      </c>
      <c r="L24" s="58">
        <f>B24*11*(1-Premissas!$B$18)</f>
        <v>311677.82684210525</v>
      </c>
      <c r="M24" s="58">
        <f>B24*12*(1-Premissas!$B$19)</f>
        <v>331404.27157894731</v>
      </c>
      <c r="N24" s="58">
        <f>B24*13*(1-Premissas!$B$20)</f>
        <v>349696.06578947365</v>
      </c>
      <c r="O24" s="63"/>
      <c r="P24" s="63"/>
      <c r="Q24" s="60">
        <f>1-(N24/(B24*13))</f>
        <v>0.25</v>
      </c>
    </row>
    <row r="25" spans="1:17" ht="15.75" customHeight="1"/>
    <row r="26" spans="1:17" ht="15.75" customHeight="1">
      <c r="A26" s="1" t="s">
        <v>45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34.5" customHeight="1">
      <c r="A27" s="3" t="s">
        <v>0</v>
      </c>
      <c r="B27" s="38" t="s">
        <v>46</v>
      </c>
      <c r="C27" s="73" t="s">
        <v>67</v>
      </c>
      <c r="D27" s="74" t="s">
        <v>68</v>
      </c>
      <c r="E27" s="74" t="s">
        <v>69</v>
      </c>
      <c r="F27" s="74" t="s">
        <v>70</v>
      </c>
      <c r="G27" s="74" t="s">
        <v>71</v>
      </c>
      <c r="H27" s="74" t="s">
        <v>72</v>
      </c>
      <c r="I27" s="74" t="s">
        <v>73</v>
      </c>
      <c r="J27" s="74" t="s">
        <v>74</v>
      </c>
      <c r="K27" s="74" t="s">
        <v>75</v>
      </c>
      <c r="L27" s="74" t="s">
        <v>76</v>
      </c>
      <c r="M27" s="74" t="s">
        <v>77</v>
      </c>
      <c r="N27" s="74" t="s">
        <v>78</v>
      </c>
      <c r="O27" s="74" t="s">
        <v>79</v>
      </c>
      <c r="P27" s="59" t="s">
        <v>47</v>
      </c>
      <c r="Q27" s="70" t="s">
        <v>80</v>
      </c>
    </row>
    <row r="28" spans="1:17" ht="15.75" customHeight="1">
      <c r="A28" s="6">
        <f>Premissas!A34</f>
        <v>1000</v>
      </c>
      <c r="B28" s="7">
        <f>(Premissas!B34+Premissas!D34/Premissas!A34+Premissas!E34/Premissas!A34)/(1-Premissas!C34-Premissas!$B$4-Premissas!$B$5-Premissas!$B$6)</f>
        <v>2.6335789473684201</v>
      </c>
      <c r="C28" s="50">
        <f>B28</f>
        <v>2.6335789473684201</v>
      </c>
      <c r="D28" s="48">
        <f>B28*(1-Premissas!$B$9)</f>
        <v>2.5545715789473675</v>
      </c>
      <c r="E28" s="48">
        <f>B28*(1-Premissas!$B$10)</f>
        <v>2.5018999999999991</v>
      </c>
      <c r="F28" s="48">
        <f>B28*(1-Premissas!$B$11)</f>
        <v>2.4492284210526307</v>
      </c>
      <c r="G28" s="48">
        <f>B28*(1-Premissas!$B$12)</f>
        <v>2.3965568421052623</v>
      </c>
      <c r="H28" s="48">
        <f>B28*(1-Premissas!$B$13)</f>
        <v>2.3438852631578939</v>
      </c>
      <c r="I28" s="48">
        <f>B28*(1-Premissas!$B$14)</f>
        <v>2.2912136842105255</v>
      </c>
      <c r="J28" s="48">
        <f>B28*(1-Premissas!$B$15)</f>
        <v>2.2385421052631571</v>
      </c>
      <c r="K28" s="48">
        <f>B28*(1-Premissas!$B$16)</f>
        <v>2.1858705263157887</v>
      </c>
      <c r="L28" s="48">
        <f>B28*(1-Premissas!$B$17)</f>
        <v>2.1331989473684203</v>
      </c>
      <c r="M28" s="48">
        <f>B28*(1-Premissas!$B$18)</f>
        <v>2.0805273684210519</v>
      </c>
      <c r="N28" s="48">
        <f>B28*(1-Premissas!$B$19)</f>
        <v>2.0278557894736835</v>
      </c>
      <c r="O28" s="48">
        <f>B28*(1-Premissas!$B$20)</f>
        <v>1.9751842105263151</v>
      </c>
      <c r="P28" s="72">
        <f>(B28-O28)*A28</f>
        <v>658.39473684210498</v>
      </c>
      <c r="Q28" s="71">
        <f>1-(B28/B$28)</f>
        <v>0</v>
      </c>
    </row>
    <row r="29" spans="1:17" ht="15.75" customHeight="1">
      <c r="A29" s="9">
        <f>Premissas!A35</f>
        <v>2000</v>
      </c>
      <c r="B29" s="10">
        <f>(Premissas!B35+Premissas!D35/Premissas!A35+Premissas!E35/Premissas!A35)/(1-Premissas!C35-Premissas!$B$4-Premissas!$B$5-Premissas!$B$6)</f>
        <v>2.2056842105263152</v>
      </c>
      <c r="C29" s="49">
        <f>B29</f>
        <v>2.2056842105263152</v>
      </c>
      <c r="D29" s="47">
        <f>B29*(1-Premissas!$B$9)</f>
        <v>2.1395136842105256</v>
      </c>
      <c r="E29" s="47">
        <f>B29*(1-Premissas!$B$10)</f>
        <v>2.0953999999999993</v>
      </c>
      <c r="F29" s="47">
        <f>B29*(1-Premissas!$B$11)</f>
        <v>2.051286315789473</v>
      </c>
      <c r="G29" s="47">
        <f>B29*(1-Premissas!$B$12)</f>
        <v>2.0071726315789471</v>
      </c>
      <c r="H29" s="47">
        <f>B29*(1-Premissas!$B$13)</f>
        <v>1.9630589473684206</v>
      </c>
      <c r="I29" s="47">
        <f>B29*(1-Premissas!$B$14)</f>
        <v>1.9189452631578943</v>
      </c>
      <c r="J29" s="47">
        <f>B29*(1-Premissas!$B$15)</f>
        <v>1.874831578947368</v>
      </c>
      <c r="K29" s="47">
        <f>B29*(1-Premissas!$B$16)</f>
        <v>1.8307178947368417</v>
      </c>
      <c r="L29" s="47">
        <f>B29*(1-Premissas!$B$17)</f>
        <v>1.7866042105263156</v>
      </c>
      <c r="M29" s="47">
        <f>B29*(1-Premissas!$B$18)</f>
        <v>1.742490526315789</v>
      </c>
      <c r="N29" s="47">
        <f>B29*(1-Premissas!$B$19)</f>
        <v>1.6983768421052627</v>
      </c>
      <c r="O29" s="47">
        <f>B29*(1-Premissas!$B$20)</f>
        <v>1.6542631578947364</v>
      </c>
      <c r="P29" s="72">
        <f>(B29-O29)*A29</f>
        <v>1102.8421052631577</v>
      </c>
      <c r="Q29" s="71">
        <f>1-(B29/B$28)</f>
        <v>0.16247651784643657</v>
      </c>
    </row>
    <row r="30" spans="1:17" ht="15.75" customHeight="1">
      <c r="A30" s="6">
        <f>Premissas!A36</f>
        <v>3000</v>
      </c>
      <c r="B30" s="7">
        <f>(Premissas!B36+Premissas!D36/Premissas!A36+Premissas!E36/Premissas!A36)/(1-Premissas!C36-Premissas!$B$4-Premissas!$B$5-Premissas!$B$6)</f>
        <v>2.1386491228070175</v>
      </c>
      <c r="C30" s="50">
        <f>B30</f>
        <v>2.1386491228070175</v>
      </c>
      <c r="D30" s="48">
        <f>B30*(1-Premissas!$B$9)</f>
        <v>2.0744896491228069</v>
      </c>
      <c r="E30" s="48">
        <f>B30*(1-Premissas!$B$10)</f>
        <v>2.0317166666666666</v>
      </c>
      <c r="F30" s="48">
        <f>B30*(1-Premissas!$B$11)</f>
        <v>1.9889436842105261</v>
      </c>
      <c r="G30" s="48">
        <f>B30*(1-Premissas!$B$12)</f>
        <v>1.9461707017543859</v>
      </c>
      <c r="H30" s="48">
        <f>B30*(1-Premissas!$B$13)</f>
        <v>1.9033977192982456</v>
      </c>
      <c r="I30" s="48">
        <f>B30*(1-Premissas!$B$14)</f>
        <v>1.8606247368421052</v>
      </c>
      <c r="J30" s="48">
        <f>B30*(1-Premissas!$B$15)</f>
        <v>1.8178517543859647</v>
      </c>
      <c r="K30" s="48">
        <f>B30*(1-Premissas!$B$16)</f>
        <v>1.7750787719298244</v>
      </c>
      <c r="L30" s="48">
        <f>B30*(1-Premissas!$B$17)</f>
        <v>1.7323057894736842</v>
      </c>
      <c r="M30" s="48">
        <f>B30*(1-Premissas!$B$18)</f>
        <v>1.6895328070175439</v>
      </c>
      <c r="N30" s="48">
        <f>B30*(1-Premissas!$B$19)</f>
        <v>1.6467598245614035</v>
      </c>
      <c r="O30" s="48">
        <f>B30*(1-Premissas!$B$20)</f>
        <v>1.6039868421052632</v>
      </c>
      <c r="P30" s="72">
        <f>(B30-O30)*A30</f>
        <v>1603.9868421052627</v>
      </c>
      <c r="Q30" s="71">
        <f>1-(B30/B$28)</f>
        <v>0.18793050614866014</v>
      </c>
    </row>
    <row r="31" spans="1:17" ht="15.75" customHeight="1">
      <c r="A31" s="9">
        <f>Premissas!A37</f>
        <v>4000</v>
      </c>
      <c r="B31" s="10">
        <f>(Premissas!B37+Premissas!D37/Premissas!A37+Premissas!E37/Premissas!A37)/(1-Premissas!C37-Premissas!$B$4-Premissas!$B$5-Premissas!$B$6)</f>
        <v>2.1047499999999992</v>
      </c>
      <c r="C31" s="49">
        <f>B31</f>
        <v>2.1047499999999992</v>
      </c>
      <c r="D31" s="47">
        <f>B31*(1-Premissas!$B$9)</f>
        <v>2.0416074999999991</v>
      </c>
      <c r="E31" s="47">
        <f>B31*(1-Premissas!$B$10)</f>
        <v>1.9995124999999991</v>
      </c>
      <c r="F31" s="47">
        <f>B31*(1-Premissas!$B$11)</f>
        <v>1.9574174999999991</v>
      </c>
      <c r="G31" s="47">
        <f>B31*(1-Premissas!$B$12)</f>
        <v>1.9153224999999994</v>
      </c>
      <c r="H31" s="47">
        <f>B31*(1-Premissas!$B$13)</f>
        <v>1.8732274999999994</v>
      </c>
      <c r="I31" s="47">
        <f>B31*(1-Premissas!$B$14)</f>
        <v>1.8311324999999994</v>
      </c>
      <c r="J31" s="47">
        <f>B31*(1-Premissas!$B$15)</f>
        <v>1.7890374999999994</v>
      </c>
      <c r="K31" s="47">
        <f>B31*(1-Premissas!$B$16)</f>
        <v>1.7469424999999992</v>
      </c>
      <c r="L31" s="47">
        <f>B31*(1-Premissas!$B$17)</f>
        <v>1.7048474999999994</v>
      </c>
      <c r="M31" s="47">
        <f>B31*(1-Premissas!$B$18)</f>
        <v>1.6627524999999994</v>
      </c>
      <c r="N31" s="47">
        <f>B31*(1-Premissas!$B$19)</f>
        <v>1.6206574999999994</v>
      </c>
      <c r="O31" s="47">
        <f>B31*(1-Premissas!$B$20)</f>
        <v>1.5785624999999994</v>
      </c>
      <c r="P31" s="72">
        <f>(B31-O31)*A31</f>
        <v>2104.7499999999991</v>
      </c>
      <c r="Q31" s="71">
        <f>1-(B31/B$28)</f>
        <v>0.20080239018346058</v>
      </c>
    </row>
    <row r="32" spans="1:17" ht="15.75" customHeight="1">
      <c r="A32" s="6">
        <f>Premissas!A38</f>
        <v>5000</v>
      </c>
      <c r="B32" s="7">
        <f>(Premissas!B38+Premissas!D38/Premissas!A38+Premissas!E38/Premissas!A38)/(1-Premissas!C38-Premissas!$B$4-Premissas!$B$5-Premissas!$B$6)</f>
        <v>1.9549368421052629</v>
      </c>
      <c r="C32" s="50">
        <f>B32</f>
        <v>1.9549368421052629</v>
      </c>
      <c r="D32" s="48">
        <f>B32*(1-Premissas!$B$9)</f>
        <v>1.8962887368421049</v>
      </c>
      <c r="E32" s="48">
        <f>B32*(1-Premissas!$B$10)</f>
        <v>1.8571899999999997</v>
      </c>
      <c r="F32" s="48">
        <f>B32*(1-Premissas!$B$11)</f>
        <v>1.8180912631578943</v>
      </c>
      <c r="G32" s="48">
        <f>B32*(1-Premissas!$B$12)</f>
        <v>1.7789925263157893</v>
      </c>
      <c r="H32" s="48">
        <f>B32*(1-Premissas!$B$13)</f>
        <v>1.7398937894736839</v>
      </c>
      <c r="I32" s="48">
        <f>B32*(1-Premissas!$B$14)</f>
        <v>1.7007950526315787</v>
      </c>
      <c r="J32" s="48">
        <f>B32*(1-Premissas!$B$15)</f>
        <v>1.6616963157894733</v>
      </c>
      <c r="K32" s="48">
        <f>B32*(1-Premissas!$B$16)</f>
        <v>1.6225975789473681</v>
      </c>
      <c r="L32" s="48">
        <f>B32*(1-Premissas!$B$17)</f>
        <v>1.5834988421052629</v>
      </c>
      <c r="M32" s="48">
        <f>B32*(1-Premissas!$B$18)</f>
        <v>1.5444001052631577</v>
      </c>
      <c r="N32" s="48">
        <f>B32*(1-Premissas!$B$19)</f>
        <v>1.5053013684210523</v>
      </c>
      <c r="O32" s="48">
        <f>B32*(1-Premissas!$B$20)</f>
        <v>1.4662026315789471</v>
      </c>
      <c r="P32" s="72">
        <f>(B32-O32)*A32</f>
        <v>2443.6710526315787</v>
      </c>
      <c r="Q32" s="71">
        <f>1-(B32/B$28)</f>
        <v>0.25768815700067937</v>
      </c>
    </row>
    <row r="33" spans="1:17" ht="15.75" customHeight="1">
      <c r="A33" s="9">
        <f>Premissas!A39</f>
        <v>6000</v>
      </c>
      <c r="B33" s="10">
        <f>(Premissas!B39+Premissas!D39/Premissas!A39+Premissas!E39/Premissas!A39)/(1-Premissas!C39-Premissas!$B$4-Premissas!$B$5-Premissas!$B$6)</f>
        <v>1.9630350877192979</v>
      </c>
      <c r="C33" s="49">
        <f>B33</f>
        <v>1.9630350877192979</v>
      </c>
      <c r="D33" s="47">
        <f>B33*(1-Premissas!$B$9)</f>
        <v>1.904144035087719</v>
      </c>
      <c r="E33" s="47">
        <f>B33*(1-Premissas!$B$10)</f>
        <v>1.864883333333333</v>
      </c>
      <c r="F33" s="47">
        <f>B33*(1-Premissas!$B$11)</f>
        <v>1.825622631578947</v>
      </c>
      <c r="G33" s="47">
        <f>B33*(1-Premissas!$B$12)</f>
        <v>1.7863619298245612</v>
      </c>
      <c r="H33" s="47">
        <f>B33*(1-Premissas!$B$13)</f>
        <v>1.7471012280701752</v>
      </c>
      <c r="I33" s="47">
        <f>B33*(1-Premissas!$B$14)</f>
        <v>1.7078405263157892</v>
      </c>
      <c r="J33" s="47">
        <f>B33*(1-Premissas!$B$15)</f>
        <v>1.6685798245614032</v>
      </c>
      <c r="K33" s="47">
        <f>B33*(1-Premissas!$B$16)</f>
        <v>1.6293191228070172</v>
      </c>
      <c r="L33" s="47">
        <f>B33*(1-Premissas!$B$17)</f>
        <v>1.5900584210526314</v>
      </c>
      <c r="M33" s="47">
        <f>B33*(1-Premissas!$B$18)</f>
        <v>1.5507977192982454</v>
      </c>
      <c r="N33" s="47">
        <f>B33*(1-Premissas!$B$19)</f>
        <v>1.5115370175438594</v>
      </c>
      <c r="O33" s="47">
        <f>B33*(1-Premissas!$B$20)</f>
        <v>1.4722763157894734</v>
      </c>
      <c r="P33" s="72">
        <f>(B33-O33)*A33</f>
        <v>2944.5526315789471</v>
      </c>
      <c r="Q33" s="71">
        <f>1-(B33/B$28)</f>
        <v>0.25461316066456141</v>
      </c>
    </row>
    <row r="34" spans="1:17" ht="15.75" customHeight="1">
      <c r="A34" s="6">
        <f>Premissas!A40</f>
        <v>7000</v>
      </c>
      <c r="B34" s="7">
        <f>(Premissas!B40+Premissas!D40/Premissas!A40+Premissas!E40/Premissas!A40)/(1-Premissas!C40-Premissas!$B$4-Premissas!$B$5-Premissas!$B$6)</f>
        <v>1.9684511278195489</v>
      </c>
      <c r="C34" s="50">
        <f>B34</f>
        <v>1.9684511278195489</v>
      </c>
      <c r="D34" s="48">
        <f>B34*(1-Premissas!$B$9)</f>
        <v>1.9093975939849623</v>
      </c>
      <c r="E34" s="48">
        <f>B34*(1-Premissas!$B$10)</f>
        <v>1.8700285714285714</v>
      </c>
      <c r="F34" s="48">
        <f>B34*(1-Premissas!$B$11)</f>
        <v>1.8306595488721804</v>
      </c>
      <c r="G34" s="48">
        <f>B34*(1-Premissas!$B$12)</f>
        <v>1.7912905263157897</v>
      </c>
      <c r="H34" s="48">
        <f>B34*(1-Premissas!$B$13)</f>
        <v>1.7519215037593985</v>
      </c>
      <c r="I34" s="48">
        <f>B34*(1-Premissas!$B$14)</f>
        <v>1.7125524812030075</v>
      </c>
      <c r="J34" s="48">
        <f>B34*(1-Premissas!$B$15)</f>
        <v>1.6731834586466166</v>
      </c>
      <c r="K34" s="48">
        <f>B34*(1-Premissas!$B$16)</f>
        <v>1.6338144360902256</v>
      </c>
      <c r="L34" s="48">
        <f>B34*(1-Premissas!$B$17)</f>
        <v>1.5944454135338346</v>
      </c>
      <c r="M34" s="48">
        <f>B34*(1-Premissas!$B$18)</f>
        <v>1.5550763909774437</v>
      </c>
      <c r="N34" s="48">
        <f>B34*(1-Premissas!$B$19)</f>
        <v>1.5157073684210527</v>
      </c>
      <c r="O34" s="48">
        <f>B34*(1-Premissas!$B$20)</f>
        <v>1.4763383458646617</v>
      </c>
      <c r="P34" s="72">
        <f>(B34-O34)*A34</f>
        <v>3444.78947368421</v>
      </c>
      <c r="Q34" s="71">
        <f>1-(B34/B$28)</f>
        <v>0.25255662839099402</v>
      </c>
    </row>
    <row r="35" spans="1:17" ht="15.75" customHeight="1">
      <c r="A35" s="9">
        <f>Premissas!A41</f>
        <v>8000</v>
      </c>
      <c r="B35" s="10">
        <f>(Premissas!B41+Premissas!D41/Premissas!A41+Premissas!E41/Premissas!A41)/(1-Premissas!C41-Premissas!$B$4-Premissas!$B$5-Premissas!$B$6)</f>
        <v>1.957644736842105</v>
      </c>
      <c r="C35" s="49">
        <f>B35</f>
        <v>1.957644736842105</v>
      </c>
      <c r="D35" s="47">
        <f>B35*(1-Premissas!$B$9)</f>
        <v>1.8989153947368418</v>
      </c>
      <c r="E35" s="47">
        <f>B35*(1-Premissas!$B$10)</f>
        <v>1.8597624999999998</v>
      </c>
      <c r="F35" s="47">
        <f>B35*(1-Premissas!$B$11)</f>
        <v>1.8206096052631575</v>
      </c>
      <c r="G35" s="47">
        <f>B35*(1-Premissas!$B$12)</f>
        <v>1.7814567105263157</v>
      </c>
      <c r="H35" s="47">
        <f>B35*(1-Premissas!$B$13)</f>
        <v>1.7423038157894735</v>
      </c>
      <c r="I35" s="47">
        <f>B35*(1-Premissas!$B$14)</f>
        <v>1.7031509210526314</v>
      </c>
      <c r="J35" s="47">
        <f>B35*(1-Premissas!$B$15)</f>
        <v>1.6639980263157892</v>
      </c>
      <c r="K35" s="47">
        <f>B35*(1-Premissas!$B$16)</f>
        <v>1.6248451315789472</v>
      </c>
      <c r="L35" s="47">
        <f>B35*(1-Premissas!$B$17)</f>
        <v>1.5856922368421051</v>
      </c>
      <c r="M35" s="47">
        <f>B35*(1-Premissas!$B$18)</f>
        <v>1.5465393421052631</v>
      </c>
      <c r="N35" s="47">
        <f>B35*(1-Premissas!$B$19)</f>
        <v>1.5073864473684209</v>
      </c>
      <c r="O35" s="47">
        <f>B35*(1-Premissas!$B$20)</f>
        <v>1.4682335526315788</v>
      </c>
      <c r="P35" s="72">
        <f>(B35-O35)*A35</f>
        <v>3915.2894736842095</v>
      </c>
      <c r="Q35" s="71">
        <f>1-(B35/B$28)</f>
        <v>0.25665993844678026</v>
      </c>
    </row>
    <row r="36" spans="1:17" ht="15.75" customHeight="1">
      <c r="A36" s="6">
        <f>Premissas!A42</f>
        <v>9000</v>
      </c>
      <c r="B36" s="7">
        <f>(Premissas!B42+Premissas!D42/Premissas!A42+Premissas!E42/Premissas!A42)/(1-Premissas!C42-Premissas!$B$4-Premissas!$B$5-Premissas!$B$6)</f>
        <v>1.9627426900584795</v>
      </c>
      <c r="C36" s="50">
        <f>B36</f>
        <v>1.9627426900584795</v>
      </c>
      <c r="D36" s="48">
        <f>B36*(1-Premissas!$B$9)</f>
        <v>1.9038604093567251</v>
      </c>
      <c r="E36" s="48">
        <f>B36*(1-Premissas!$B$10)</f>
        <v>1.8646055555555554</v>
      </c>
      <c r="F36" s="48">
        <f>B36*(1-Premissas!$B$11)</f>
        <v>1.8253507017543857</v>
      </c>
      <c r="G36" s="48">
        <f>B36*(1-Premissas!$B$12)</f>
        <v>1.7860958479532163</v>
      </c>
      <c r="H36" s="48">
        <f>B36*(1-Premissas!$B$13)</f>
        <v>1.7468409941520466</v>
      </c>
      <c r="I36" s="48">
        <f>B36*(1-Premissas!$B$14)</f>
        <v>1.7075861403508772</v>
      </c>
      <c r="J36" s="48">
        <f>B36*(1-Premissas!$B$15)</f>
        <v>1.6683312865497075</v>
      </c>
      <c r="K36" s="48">
        <f>B36*(1-Premissas!$B$16)</f>
        <v>1.6290764327485379</v>
      </c>
      <c r="L36" s="48">
        <f>B36*(1-Premissas!$B$17)</f>
        <v>1.5898215789473684</v>
      </c>
      <c r="M36" s="48">
        <f>B36*(1-Premissas!$B$18)</f>
        <v>1.5505667251461988</v>
      </c>
      <c r="N36" s="48">
        <f>B36*(1-Premissas!$B$19)</f>
        <v>1.5113118713450293</v>
      </c>
      <c r="O36" s="48">
        <f>B36*(1-Premissas!$B$20)</f>
        <v>1.4720570175438596</v>
      </c>
      <c r="P36" s="72">
        <f>(B36-O36)*A36</f>
        <v>4416.1710526315783</v>
      </c>
      <c r="Q36" s="71">
        <f>1-(B36/B$28)</f>
        <v>0.25472418739535707</v>
      </c>
    </row>
    <row r="37" spans="1:17" ht="15.75" customHeight="1">
      <c r="A37" s="9">
        <f>Premissas!A43</f>
        <v>10000</v>
      </c>
      <c r="B37" s="10">
        <f>(Premissas!B43+Premissas!D43/Premissas!A43+Premissas!E43/Premissas!A43)/(1-Premissas!C43-Premissas!$B$4-Premissas!$B$5-Premissas!$B$6)</f>
        <v>1.8097210526315788</v>
      </c>
      <c r="C37" s="49">
        <f>B37</f>
        <v>1.8097210526315788</v>
      </c>
      <c r="D37" s="47">
        <f>B37*(1-Premissas!$B$9)</f>
        <v>1.7554294210526313</v>
      </c>
      <c r="E37" s="47">
        <f>B37*(1-Premissas!$B$10)</f>
        <v>1.7192349999999998</v>
      </c>
      <c r="F37" s="47">
        <f>B37*(1-Premissas!$B$11)</f>
        <v>1.6830405789473681</v>
      </c>
      <c r="G37" s="47">
        <f>B37*(1-Premissas!$B$12)</f>
        <v>1.6468461578947367</v>
      </c>
      <c r="H37" s="47">
        <f>B37*(1-Premissas!$B$13)</f>
        <v>1.6106517368421052</v>
      </c>
      <c r="I37" s="47">
        <f>B37*(1-Premissas!$B$14)</f>
        <v>1.5744573157894735</v>
      </c>
      <c r="J37" s="47">
        <f>B37*(1-Premissas!$B$15)</f>
        <v>1.538262894736842</v>
      </c>
      <c r="K37" s="47">
        <f>B37*(1-Premissas!$B$16)</f>
        <v>1.5020684736842103</v>
      </c>
      <c r="L37" s="47">
        <f>B37*(1-Premissas!$B$17)</f>
        <v>1.465874052631579</v>
      </c>
      <c r="M37" s="47">
        <f>B37*(1-Premissas!$B$18)</f>
        <v>1.4296796315789473</v>
      </c>
      <c r="N37" s="47">
        <f>B37*(1-Premissas!$B$19)</f>
        <v>1.3934852105263158</v>
      </c>
      <c r="O37" s="47">
        <f>B37*(1-Premissas!$B$20)</f>
        <v>1.3572907894736841</v>
      </c>
      <c r="P37" s="72">
        <f>(B37-O37)*A37</f>
        <v>4524.3026315789466</v>
      </c>
      <c r="Q37" s="71">
        <f>1-(B37/B$28)</f>
        <v>0.31282825052959728</v>
      </c>
    </row>
    <row r="38" spans="1:17" ht="15.75" customHeight="1">
      <c r="A38" s="6">
        <f>Premissas!A44</f>
        <v>11000</v>
      </c>
      <c r="B38" s="7">
        <f>(Premissas!B44+Premissas!D44/Premissas!A44+Premissas!E44/Premissas!A44)/(1-Premissas!C44-Premissas!$B$4-Premissas!$B$5-Premissas!$B$6)</f>
        <v>1.8407272727272725</v>
      </c>
      <c r="C38" s="50">
        <f>B38</f>
        <v>1.8407272727272725</v>
      </c>
      <c r="D38" s="48">
        <f>B38*(1-Premissas!$B$9)</f>
        <v>1.7855054545454543</v>
      </c>
      <c r="E38" s="48">
        <f>B38*(1-Premissas!$B$10)</f>
        <v>1.7486909090909089</v>
      </c>
      <c r="F38" s="48">
        <f>B38*(1-Premissas!$B$11)</f>
        <v>1.7118763636363634</v>
      </c>
      <c r="G38" s="48">
        <f>B38*(1-Premissas!$B$12)</f>
        <v>1.675061818181818</v>
      </c>
      <c r="H38" s="48">
        <f>B38*(1-Premissas!$B$13)</f>
        <v>1.6382472727272726</v>
      </c>
      <c r="I38" s="48">
        <f>B38*(1-Premissas!$B$14)</f>
        <v>1.6014327272727271</v>
      </c>
      <c r="J38" s="48">
        <f>B38*(1-Premissas!$B$15)</f>
        <v>1.5646181818181817</v>
      </c>
      <c r="K38" s="48">
        <f>B38*(1-Premissas!$B$16)</f>
        <v>1.527803636363636</v>
      </c>
      <c r="L38" s="48">
        <f>B38*(1-Premissas!$B$17)</f>
        <v>1.4909890909090908</v>
      </c>
      <c r="M38" s="48">
        <f>B38*(1-Premissas!$B$18)</f>
        <v>1.4541745454545454</v>
      </c>
      <c r="N38" s="48">
        <f>B38*(1-Premissas!$B$19)</f>
        <v>1.41736</v>
      </c>
      <c r="O38" s="48">
        <f>B38*(1-Premissas!$B$20)</f>
        <v>1.3805454545454543</v>
      </c>
      <c r="P38" s="72">
        <f>(B38-O38)*A38</f>
        <v>5062.0000000000009</v>
      </c>
      <c r="Q38" s="71">
        <f>1-(B38/B$28)</f>
        <v>0.3010548346892723</v>
      </c>
    </row>
    <row r="39" spans="1:17" ht="15.75" customHeight="1">
      <c r="A39" s="9">
        <f>Premissas!A45</f>
        <v>12000</v>
      </c>
      <c r="B39" s="10">
        <f>(Premissas!B45+Premissas!D45/Premissas!A45+Premissas!E45/Premissas!A45)/(1-Premissas!C45-Premissas!$B$4-Premissas!$B$5-Premissas!$B$6)</f>
        <v>1.8410087719298243</v>
      </c>
      <c r="C39" s="49">
        <f>B39</f>
        <v>1.8410087719298243</v>
      </c>
      <c r="D39" s="47">
        <f>B39*(1-Premissas!$B$9)</f>
        <v>1.7857785087719296</v>
      </c>
      <c r="E39" s="47">
        <f>B39*(1-Premissas!$B$10)</f>
        <v>1.7489583333333329</v>
      </c>
      <c r="F39" s="47">
        <f>B39*(1-Premissas!$B$11)</f>
        <v>1.7121381578947366</v>
      </c>
      <c r="G39" s="47">
        <f>B39*(1-Premissas!$B$12)</f>
        <v>1.6753179824561402</v>
      </c>
      <c r="H39" s="47">
        <f>B39*(1-Premissas!$B$13)</f>
        <v>1.6384978070175436</v>
      </c>
      <c r="I39" s="47">
        <f>B39*(1-Premissas!$B$14)</f>
        <v>1.6016776315789472</v>
      </c>
      <c r="J39" s="47">
        <f>B39*(1-Premissas!$B$15)</f>
        <v>1.5648574561403505</v>
      </c>
      <c r="K39" s="47">
        <f>B39*(1-Premissas!$B$16)</f>
        <v>1.5280372807017542</v>
      </c>
      <c r="L39" s="47">
        <f>B39*(1-Premissas!$B$17)</f>
        <v>1.4912171052631578</v>
      </c>
      <c r="M39" s="47">
        <f>B39*(1-Premissas!$B$18)</f>
        <v>1.4543969298245611</v>
      </c>
      <c r="N39" s="47">
        <f>B39*(1-Premissas!$B$19)</f>
        <v>1.4175767543859648</v>
      </c>
      <c r="O39" s="47">
        <f>B39*(1-Premissas!$B$20)</f>
        <v>1.3807565789473681</v>
      </c>
      <c r="P39" s="72">
        <f>(B39-O39)*A39</f>
        <v>5523.0263157894733</v>
      </c>
      <c r="Q39" s="71">
        <f>1-(B39/B$28)</f>
        <v>0.30094794622753362</v>
      </c>
    </row>
    <row r="40" spans="1:17" ht="15.75" customHeight="1">
      <c r="A40" s="6">
        <f>Premissas!A46</f>
        <v>13000</v>
      </c>
      <c r="B40" s="7">
        <f>(Premissas!B46+Premissas!D46/Premissas!A46+Premissas!E46/Premissas!A46)/(1-Premissas!C46-Premissas!$B$4-Premissas!$B$5-Premissas!$B$6)</f>
        <v>1.8646396761133601</v>
      </c>
      <c r="C40" s="50">
        <f>B40</f>
        <v>1.8646396761133601</v>
      </c>
      <c r="D40" s="48">
        <f>B40*(1-Premissas!$B$9)</f>
        <v>1.8087004858299593</v>
      </c>
      <c r="E40" s="48">
        <f>B40*(1-Premissas!$B$10)</f>
        <v>1.771407692307692</v>
      </c>
      <c r="F40" s="48">
        <f>B40*(1-Premissas!$B$11)</f>
        <v>1.7341148987854249</v>
      </c>
      <c r="G40" s="48">
        <f>B40*(1-Premissas!$B$12)</f>
        <v>1.6968221052631578</v>
      </c>
      <c r="H40" s="48">
        <f>B40*(1-Premissas!$B$13)</f>
        <v>1.6595293117408905</v>
      </c>
      <c r="I40" s="48">
        <f>B40*(1-Premissas!$B$14)</f>
        <v>1.6222365182186234</v>
      </c>
      <c r="J40" s="48">
        <f>B40*(1-Premissas!$B$15)</f>
        <v>1.584943724696356</v>
      </c>
      <c r="K40" s="48">
        <f>B40*(1-Premissas!$B$16)</f>
        <v>1.5476509311740889</v>
      </c>
      <c r="L40" s="48">
        <f>B40*(1-Premissas!$B$17)</f>
        <v>1.5103581376518218</v>
      </c>
      <c r="M40" s="48">
        <f>B40*(1-Premissas!$B$18)</f>
        <v>1.4730653441295545</v>
      </c>
      <c r="N40" s="48">
        <f>B40*(1-Premissas!$B$19)</f>
        <v>1.4357725506072874</v>
      </c>
      <c r="O40" s="48">
        <f>B40*(1-Premissas!$B$20)</f>
        <v>1.39847975708502</v>
      </c>
      <c r="P40" s="72">
        <f>(B40-O40)*A40</f>
        <v>6060.0789473684208</v>
      </c>
      <c r="Q40" s="71">
        <f>1-(B40/B$28)</f>
        <v>0.29197502206015724</v>
      </c>
    </row>
    <row r="41" spans="1:17" ht="15.75" customHeight="1">
      <c r="A41" s="9">
        <f>Premissas!A47</f>
        <v>14000</v>
      </c>
      <c r="B41" s="10">
        <f>(Premissas!B47+Premissas!D47/Premissas!A47+Premissas!E47/Premissas!A47)/(1-Premissas!C47-Premissas!$B$4-Premissas!$B$5-Premissas!$B$6)</f>
        <v>1.8633571428571425</v>
      </c>
      <c r="C41" s="49">
        <f>B41</f>
        <v>1.8633571428571425</v>
      </c>
      <c r="D41" s="47">
        <f>B41*(1-Premissas!$B$9)</f>
        <v>1.8074564285714281</v>
      </c>
      <c r="E41" s="47">
        <f>B41*(1-Premissas!$B$10)</f>
        <v>1.7701892857142854</v>
      </c>
      <c r="F41" s="47">
        <f>B41*(1-Premissas!$B$11)</f>
        <v>1.7329221428571424</v>
      </c>
      <c r="G41" s="47">
        <f>B41*(1-Premissas!$B$12)</f>
        <v>1.6956549999999997</v>
      </c>
      <c r="H41" s="47">
        <f>B41*(1-Premissas!$B$13)</f>
        <v>1.6583878571428567</v>
      </c>
      <c r="I41" s="47">
        <f>B41*(1-Premissas!$B$14)</f>
        <v>1.621120714285714</v>
      </c>
      <c r="J41" s="47">
        <f>B41*(1-Premissas!$B$15)</f>
        <v>1.5838535714285711</v>
      </c>
      <c r="K41" s="47">
        <f>B41*(1-Premissas!$B$16)</f>
        <v>1.5465864285714281</v>
      </c>
      <c r="L41" s="47">
        <f>B41*(1-Premissas!$B$17)</f>
        <v>1.5093192857142854</v>
      </c>
      <c r="M41" s="47">
        <f>B41*(1-Premissas!$B$18)</f>
        <v>1.4720521428571427</v>
      </c>
      <c r="N41" s="47">
        <f>B41*(1-Premissas!$B$19)</f>
        <v>1.4347849999999998</v>
      </c>
      <c r="O41" s="47">
        <f>B41*(1-Premissas!$B$20)</f>
        <v>1.3975178571428568</v>
      </c>
      <c r="P41" s="72">
        <f>(B41-O41)*A41</f>
        <v>6521.7499999999991</v>
      </c>
      <c r="Q41" s="71">
        <f>1-(B41/B$28)</f>
        <v>0.29246201458320242</v>
      </c>
    </row>
    <row r="42" spans="1:17" ht="15.75" customHeight="1">
      <c r="A42" s="6">
        <f>Premissas!A48</f>
        <v>15000</v>
      </c>
      <c r="B42" s="7">
        <f>(Premissas!B48+Premissas!D48/Premissas!A48+Premissas!E48/Premissas!A48)/(1-Premissas!C48-Premissas!$B$4-Premissas!$B$5-Premissas!$B$6)</f>
        <v>1.8620736842105261</v>
      </c>
      <c r="C42" s="50">
        <f>B42</f>
        <v>1.8620736842105261</v>
      </c>
      <c r="D42" s="48">
        <f>B42*(1-Premissas!$B$9)</f>
        <v>1.8062114736842103</v>
      </c>
      <c r="E42" s="48">
        <f>B42*(1-Premissas!$B$10)</f>
        <v>1.7689699999999997</v>
      </c>
      <c r="F42" s="48">
        <f>B42*(1-Premissas!$B$11)</f>
        <v>1.7317285263157891</v>
      </c>
      <c r="G42" s="48">
        <f>B42*(1-Premissas!$B$12)</f>
        <v>1.6944870526315787</v>
      </c>
      <c r="H42" s="48">
        <f>B42*(1-Premissas!$B$13)</f>
        <v>1.6572455789473683</v>
      </c>
      <c r="I42" s="48">
        <f>B42*(1-Premissas!$B$14)</f>
        <v>1.6200041052631577</v>
      </c>
      <c r="J42" s="48">
        <f>B42*(1-Premissas!$B$15)</f>
        <v>1.5827626315789471</v>
      </c>
      <c r="K42" s="48">
        <f>B42*(1-Premissas!$B$16)</f>
        <v>1.5455211578947365</v>
      </c>
      <c r="L42" s="48">
        <f>B42*(1-Premissas!$B$17)</f>
        <v>1.5082796842105262</v>
      </c>
      <c r="M42" s="48">
        <f>B42*(1-Premissas!$B$18)</f>
        <v>1.4710382105263158</v>
      </c>
      <c r="N42" s="48">
        <f>B42*(1-Premissas!$B$19)</f>
        <v>1.4337967368421052</v>
      </c>
      <c r="O42" s="48">
        <f>B42*(1-Premissas!$B$20)</f>
        <v>1.3965552631578946</v>
      </c>
      <c r="P42" s="72">
        <f>(B42-O42)*A42</f>
        <v>6982.7763157894733</v>
      </c>
      <c r="Q42" s="71">
        <f>1-(B42/B$28)</f>
        <v>0.29294935848754933</v>
      </c>
    </row>
    <row r="43" spans="1:17" ht="15.75" customHeight="1">
      <c r="A43" s="9">
        <f>Premissas!A49</f>
        <v>16000</v>
      </c>
      <c r="B43" s="10">
        <f>(Premissas!B49+Premissas!D49/Premissas!A49+Premissas!E49/Premissas!A49)/(1-Premissas!C49-Premissas!$B$4-Premissas!$B$5-Premissas!$B$6)</f>
        <v>1.8535164473684211</v>
      </c>
      <c r="C43" s="49">
        <f>B43</f>
        <v>1.8535164473684211</v>
      </c>
      <c r="D43" s="47">
        <f>B43*(1-Premissas!$B$9)</f>
        <v>1.7979109539473686</v>
      </c>
      <c r="E43" s="47">
        <f>B43*(1-Premissas!$B$10)</f>
        <v>1.7608406249999999</v>
      </c>
      <c r="F43" s="47">
        <f>B43*(1-Premissas!$B$11)</f>
        <v>1.7237702960526315</v>
      </c>
      <c r="G43" s="47">
        <f>B43*(1-Premissas!$B$12)</f>
        <v>1.6866999671052634</v>
      </c>
      <c r="H43" s="47">
        <f>B43*(1-Premissas!$B$13)</f>
        <v>1.6496296381578948</v>
      </c>
      <c r="I43" s="47">
        <f>B43*(1-Premissas!$B$14)</f>
        <v>1.6125593092105264</v>
      </c>
      <c r="J43" s="47">
        <f>B43*(1-Premissas!$B$15)</f>
        <v>1.575488980263158</v>
      </c>
      <c r="K43" s="47">
        <f>B43*(1-Premissas!$B$16)</f>
        <v>1.5384186513157894</v>
      </c>
      <c r="L43" s="47">
        <f>B43*(1-Premissas!$B$17)</f>
        <v>1.5013483223684212</v>
      </c>
      <c r="M43" s="47">
        <f>B43*(1-Premissas!$B$18)</f>
        <v>1.4642779934210528</v>
      </c>
      <c r="N43" s="47">
        <f>B43*(1-Premissas!$B$19)</f>
        <v>1.4272076644736844</v>
      </c>
      <c r="O43" s="47">
        <f>B43*(1-Premissas!$B$20)</f>
        <v>1.3901373355263158</v>
      </c>
      <c r="P43" s="72">
        <f>(B43-O43)*A43</f>
        <v>7414.0657894736851</v>
      </c>
      <c r="Q43" s="71">
        <f>1-(B43/B$28)</f>
        <v>0.29619863903433363</v>
      </c>
    </row>
    <row r="44" spans="1:17" ht="15.75" customHeight="1">
      <c r="A44" s="6">
        <f>Premissas!A50</f>
        <v>17000</v>
      </c>
      <c r="B44" s="7">
        <f>(Premissas!B50+Premissas!D50/Premissas!A50+Premissas!E50/Premissas!A50)/(1-Premissas!C50-Premissas!$B$4-Premissas!$B$5-Premissas!$B$6)</f>
        <v>1.8531145510835911</v>
      </c>
      <c r="C44" s="50">
        <f>B44</f>
        <v>1.8531145510835911</v>
      </c>
      <c r="D44" s="48">
        <f>B44*(1-Premissas!$B$9)</f>
        <v>1.7975211145510834</v>
      </c>
      <c r="E44" s="48">
        <f>B44*(1-Premissas!$B$10)</f>
        <v>1.7604588235294114</v>
      </c>
      <c r="F44" s="48">
        <f>B44*(1-Premissas!$B$11)</f>
        <v>1.7233965325077396</v>
      </c>
      <c r="G44" s="48">
        <f>B44*(1-Premissas!$B$12)</f>
        <v>1.686334241486068</v>
      </c>
      <c r="H44" s="48">
        <f>B44*(1-Premissas!$B$13)</f>
        <v>1.6492719504643962</v>
      </c>
      <c r="I44" s="48">
        <f>B44*(1-Premissas!$B$14)</f>
        <v>1.6122096594427242</v>
      </c>
      <c r="J44" s="48">
        <f>B44*(1-Premissas!$B$15)</f>
        <v>1.5751473684210524</v>
      </c>
      <c r="K44" s="48">
        <f>B44*(1-Premissas!$B$16)</f>
        <v>1.5380850773993806</v>
      </c>
      <c r="L44" s="48">
        <f>B44*(1-Premissas!$B$17)</f>
        <v>1.5010227863777088</v>
      </c>
      <c r="M44" s="48">
        <f>B44*(1-Premissas!$B$18)</f>
        <v>1.463960495356037</v>
      </c>
      <c r="N44" s="48">
        <f>B44*(1-Premissas!$B$19)</f>
        <v>1.4268982043343652</v>
      </c>
      <c r="O44" s="48">
        <f>B44*(1-Premissas!$B$20)</f>
        <v>1.3898359133126934</v>
      </c>
      <c r="P44" s="72">
        <f>(B44-O44)*A44</f>
        <v>7875.7368421052615</v>
      </c>
      <c r="Q44" s="71">
        <f>1-(B44/B$28)</f>
        <v>0.29635124364306642</v>
      </c>
    </row>
    <row r="45" spans="1:17" ht="15.75" customHeight="1">
      <c r="A45" s="9">
        <f>Premissas!A51</f>
        <v>18000</v>
      </c>
      <c r="B45" s="10">
        <f>(Premissas!B51+Premissas!D51/Premissas!A51+Premissas!E51/Premissas!A51)/(1-Premissas!C51-Premissas!$B$4-Premissas!$B$5-Premissas!$B$6)</f>
        <v>1.8526140350877192</v>
      </c>
      <c r="C45" s="49">
        <f>B45</f>
        <v>1.8526140350877192</v>
      </c>
      <c r="D45" s="47">
        <f>B45*(1-Premissas!$B$9)</f>
        <v>1.7970356140350876</v>
      </c>
      <c r="E45" s="47">
        <f>B45*(1-Premissas!$B$10)</f>
        <v>1.759983333333333</v>
      </c>
      <c r="F45" s="47">
        <f>B45*(1-Premissas!$B$11)</f>
        <v>1.7229310526315786</v>
      </c>
      <c r="G45" s="47">
        <f>B45*(1-Premissas!$B$12)</f>
        <v>1.6858787719298245</v>
      </c>
      <c r="H45" s="47">
        <f>B45*(1-Premissas!$B$13)</f>
        <v>1.6488264912280701</v>
      </c>
      <c r="I45" s="47">
        <f>B45*(1-Premissas!$B$14)</f>
        <v>1.6117742105263158</v>
      </c>
      <c r="J45" s="47">
        <f>B45*(1-Premissas!$B$15)</f>
        <v>1.5747219298245612</v>
      </c>
      <c r="K45" s="47">
        <f>B45*(1-Premissas!$B$16)</f>
        <v>1.5376696491228068</v>
      </c>
      <c r="L45" s="47">
        <f>B45*(1-Premissas!$B$17)</f>
        <v>1.5006173684210526</v>
      </c>
      <c r="M45" s="47">
        <f>B45*(1-Premissas!$B$18)</f>
        <v>1.4635650877192983</v>
      </c>
      <c r="N45" s="47">
        <f>B45*(1-Premissas!$B$19)</f>
        <v>1.4265128070175437</v>
      </c>
      <c r="O45" s="47">
        <f>B45*(1-Premissas!$B$20)</f>
        <v>1.3894605263157893</v>
      </c>
      <c r="P45" s="72">
        <f>(B45-O45)*A45</f>
        <v>8336.7631578947367</v>
      </c>
      <c r="Q45" s="71">
        <f>1-(B45/B$28)</f>
        <v>0.29654129528225193</v>
      </c>
    </row>
    <row r="46" spans="1:17" ht="15.75" customHeight="1">
      <c r="A46" s="6">
        <f>Premissas!A52</f>
        <v>19000</v>
      </c>
      <c r="B46" s="7">
        <f>(Premissas!B52+Premissas!D52/Premissas!A52+Premissas!E52/Premissas!A52)/(1-Premissas!C52-Premissas!$B$4-Premissas!$B$5-Premissas!$B$6)</f>
        <v>1.8459058171745149</v>
      </c>
      <c r="C46" s="50">
        <f>B46</f>
        <v>1.8459058171745149</v>
      </c>
      <c r="D46" s="48">
        <f>B46*(1-Premissas!$B$9)</f>
        <v>1.7905286426592792</v>
      </c>
      <c r="E46" s="48">
        <f>B46*(1-Premissas!$B$10)</f>
        <v>1.7536105263157891</v>
      </c>
      <c r="F46" s="48">
        <f>B46*(1-Premissas!$B$11)</f>
        <v>1.7166924099722987</v>
      </c>
      <c r="G46" s="48">
        <f>B46*(1-Premissas!$B$12)</f>
        <v>1.6797742936288085</v>
      </c>
      <c r="H46" s="48">
        <f>B46*(1-Premissas!$B$13)</f>
        <v>1.6428561772853183</v>
      </c>
      <c r="I46" s="48">
        <f>B46*(1-Premissas!$B$14)</f>
        <v>1.6059380609418279</v>
      </c>
      <c r="J46" s="48">
        <f>B46*(1-Premissas!$B$15)</f>
        <v>1.5690199445983375</v>
      </c>
      <c r="K46" s="48">
        <f>B46*(1-Premissas!$B$16)</f>
        <v>1.5321018282548473</v>
      </c>
      <c r="L46" s="48">
        <f>B46*(1-Premissas!$B$17)</f>
        <v>1.4951837119113571</v>
      </c>
      <c r="M46" s="48">
        <f>B46*(1-Premissas!$B$18)</f>
        <v>1.4582655955678667</v>
      </c>
      <c r="N46" s="48">
        <f>B46*(1-Premissas!$B$19)</f>
        <v>1.4213474792243765</v>
      </c>
      <c r="O46" s="48">
        <f>B46*(1-Premissas!$B$20)</f>
        <v>1.3844293628808861</v>
      </c>
      <c r="P46" s="72">
        <f>(B46-O46)*A46</f>
        <v>8768.0526315789448</v>
      </c>
      <c r="Q46" s="71">
        <f>1-(B46/B$28)</f>
        <v>0.29908848222719142</v>
      </c>
    </row>
    <row r="47" spans="1:17" ht="15.75" customHeight="1">
      <c r="A47" s="12">
        <f>Premissas!A53</f>
        <v>20000</v>
      </c>
      <c r="B47" s="13">
        <f>(Premissas!B53+Premissas!D53/Premissas!A53+Premissas!E53/Premissas!A53)/(1-Premissas!C53-Premissas!$B$4-Premissas!$B$5-Premissas!$B$6)</f>
        <v>1.7933131578947366</v>
      </c>
      <c r="C47" s="49">
        <f>B47</f>
        <v>1.7933131578947366</v>
      </c>
      <c r="D47" s="47">
        <f>B47*(1-Premissas!$B$9)</f>
        <v>1.7395137631578943</v>
      </c>
      <c r="E47" s="47">
        <f>B47*(1-Premissas!$B$10)</f>
        <v>1.7036474999999995</v>
      </c>
      <c r="F47" s="47">
        <f>B47*(1-Premissas!$B$11)</f>
        <v>1.6677812368421048</v>
      </c>
      <c r="G47" s="47">
        <f>B47*(1-Premissas!$B$12)</f>
        <v>1.6319149736842102</v>
      </c>
      <c r="H47" s="47">
        <f>B47*(1-Premissas!$B$13)</f>
        <v>1.5960487105263155</v>
      </c>
      <c r="I47" s="47">
        <f>B47*(1-Premissas!$B$14)</f>
        <v>1.5601824473684207</v>
      </c>
      <c r="J47" s="47">
        <f>B47*(1-Premissas!$B$15)</f>
        <v>1.5243161842105259</v>
      </c>
      <c r="K47" s="47">
        <f>B47*(1-Premissas!$B$16)</f>
        <v>1.4884499210526312</v>
      </c>
      <c r="L47" s="47">
        <f>B47*(1-Premissas!$B$17)</f>
        <v>1.4525836578947366</v>
      </c>
      <c r="M47" s="47">
        <f>B47*(1-Premissas!$B$18)</f>
        <v>1.4167173947368419</v>
      </c>
      <c r="N47" s="47">
        <f>B47*(1-Premissas!$B$19)</f>
        <v>1.3808511315789471</v>
      </c>
      <c r="O47" s="47">
        <f>B47*(1-Premissas!$B$20)</f>
        <v>1.3449848684210524</v>
      </c>
      <c r="P47" s="72">
        <f>(B47-O47)*A47</f>
        <v>8966.5657894736833</v>
      </c>
      <c r="Q47" s="71">
        <f>1-(B47/B$28)</f>
        <v>0.31905851552819842</v>
      </c>
    </row>
    <row r="48" spans="1:17" ht="15.75" customHeight="1"/>
    <row r="49" spans="1:17" ht="15.75" customHeight="1">
      <c r="A49" s="1" t="s">
        <v>48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5.75" customHeight="1">
      <c r="A50" s="3" t="s">
        <v>0</v>
      </c>
      <c r="B50" s="40" t="s">
        <v>1</v>
      </c>
      <c r="C50" s="40" t="s">
        <v>2</v>
      </c>
      <c r="D50" s="40" t="s">
        <v>3</v>
      </c>
      <c r="E50" s="41" t="s">
        <v>4</v>
      </c>
      <c r="F50" s="66" t="s">
        <v>58</v>
      </c>
      <c r="G50" s="67" t="s">
        <v>59</v>
      </c>
      <c r="H50" s="67" t="s">
        <v>60</v>
      </c>
      <c r="I50" s="67" t="s">
        <v>61</v>
      </c>
      <c r="J50" s="67" t="s">
        <v>62</v>
      </c>
      <c r="K50" s="67" t="s">
        <v>63</v>
      </c>
      <c r="L50" s="67" t="s">
        <v>64</v>
      </c>
      <c r="M50" s="67" t="s">
        <v>65</v>
      </c>
      <c r="N50" s="68" t="s">
        <v>66</v>
      </c>
      <c r="O50" s="52"/>
      <c r="P50" s="52"/>
    </row>
    <row r="51" spans="1:17" ht="15.75" customHeight="1">
      <c r="A51" s="9">
        <f>Premissas!A34</f>
        <v>1000</v>
      </c>
      <c r="B51" s="10">
        <f>B5*(1-IF(A51&gt;=20000,Premissas!$B$30,IF(A51&gt;=15000,Premissas!$B$29,IF(A51&gt;=10000,Premissas!$B$28,IF(A51&gt;=5000,Premissas!$B$27,0)))))</f>
        <v>2633.5789473684208</v>
      </c>
      <c r="C51" s="10">
        <f>B5*2*(1-Premissas!$B$9)*(1-IF(A51&gt;=20000,Premissas!$B$30,IF(A51&gt;=15000,Premissas!$B$29,IF(A51&gt;=10000,Premissas!$B$28,IF(A51&gt;=5000,Premissas!$B$27,0)))))</f>
        <v>5109.1431578947359</v>
      </c>
      <c r="D51" s="10">
        <f>B5*3*(1-Premissas!$B$10)*(1-IF(A51&gt;=20000,Premissas!$B$30,IF(A51&gt;=15000,Premissas!$B$29,IF(A51&gt;=10000,Premissas!$B$28,IF(A51&gt;=5000,Premissas!$B$27,0)))))</f>
        <v>7505.6999999999989</v>
      </c>
      <c r="E51" s="11">
        <f>B5*4*(1-Premissas!$B$11)*(1-IF(A51&gt;=20000,Premissas!$B$30,IF(A51&gt;=15000,Premissas!$B$29,IF(A51&gt;=10000,Premissas!$B$28,IF(A51&gt;=5000,Premissas!$B$27,0)))))</f>
        <v>9796.9136842105254</v>
      </c>
      <c r="F51" s="64">
        <f>B5*5*(1-Premissas!$B$12)*(1-IF(A51&gt;=20000,Premissas!$B$30,IF(A51&gt;=15000,Premissas!$B$29,IF(A51&gt;=10000,Premissas!$B$28,IF(A51&gt;=5000,Premissas!$B$27,0)))))</f>
        <v>11982.784210526313</v>
      </c>
      <c r="G51" s="57">
        <f>B5*6*(1-Premissas!$B$13)*(1-IF(A51&gt;=20000,Premissas!$B$30,IF(A51&gt;=15000,Premissas!$B$29,IF(A51&gt;=10000,Premissas!$B$28,IF(A51&gt;=5000,Premissas!$B$27,0)))))</f>
        <v>14063.311578947367</v>
      </c>
      <c r="H51" s="57">
        <f>B5*7*(1-Premissas!$B$14)*(1-IF(A51&gt;=20000,Premissas!$B$30,IF(A51&gt;=15000,Premissas!$B$29,IF(A51&gt;=10000,Premissas!$B$28,IF(A51&gt;=5000,Premissas!$B$27,0)))))</f>
        <v>16038.495789473684</v>
      </c>
      <c r="I51" s="57">
        <f>B5*8*(1-Premissas!$B$15)*(1-IF(A51&gt;=20000,Premissas!$B$30,IF(A51&gt;=15000,Premissas!$B$29,IF(A51&gt;=10000,Premissas!$B$28,IF(A51&gt;=5000,Premissas!$B$27,0)))))</f>
        <v>17908.336842105262</v>
      </c>
      <c r="J51" s="57">
        <f>B5*9*(1-Premissas!$B$16)*(1-IF(A51&gt;=20000,Premissas!$B$30,IF(A51&gt;=15000,Premissas!$B$29,IF(A51&gt;=10000,Premissas!$B$28,IF(A51&gt;=5000,Premissas!$B$27,0)))))</f>
        <v>19672.834736842102</v>
      </c>
      <c r="K51" s="57">
        <f>B5*10*(1-Premissas!$B$17)*(1-IF(A51&gt;=20000,Premissas!$B$30,IF(A51&gt;=15000,Premissas!$B$29,IF(A51&gt;=10000,Premissas!$B$28,IF(A51&gt;=5000,Premissas!$B$27,0)))))</f>
        <v>21331.989473684207</v>
      </c>
      <c r="L51" s="57">
        <f>B5*11*(1-Premissas!$B$18)*(1-IF(A51&gt;=20000,Premissas!$B$30,IF(A51&gt;=15000,Premissas!$B$29,IF(A51&gt;=10000,Premissas!$B$28,IF(A51&gt;=5000,Premissas!$B$27,0)))))</f>
        <v>22885.801052631577</v>
      </c>
      <c r="M51" s="57">
        <f>B5*12*(1-Premissas!$B$19)*(1-IF(A51&gt;=20000,Premissas!$B$30,IF(A51&gt;=15000,Premissas!$B$29,IF(A51&gt;=10000,Premissas!$B$28,IF(A51&gt;=5000,Premissas!$B$27,0)))))</f>
        <v>24334.26947368421</v>
      </c>
      <c r="N51" s="53">
        <f>B5*13*(1-Premissas!$B$20)*(1-IF(A51&gt;=20000,Premissas!$B$30,IF(A51&gt;=15000,Premissas!$B$29,IF(A51&gt;=10000,Premissas!$B$28,IF(A51&gt;=5000,Premissas!$B$27,0)))))</f>
        <v>25677.394736842107</v>
      </c>
      <c r="O51" s="55"/>
      <c r="P51" s="55"/>
    </row>
    <row r="52" spans="1:17" ht="15.75" customHeight="1">
      <c r="A52" s="6">
        <f>Premissas!A35</f>
        <v>2000</v>
      </c>
      <c r="B52" s="7">
        <f>B6*(1-IF(A52&gt;=20000,Premissas!$B$30,IF(A52&gt;=15000,Premissas!$B$29,IF(A52&gt;=10000,Premissas!$B$28,IF(A52&gt;=5000,Premissas!$B$27,0)))))</f>
        <v>4411.3684210526308</v>
      </c>
      <c r="C52" s="7">
        <f>B6*2*(1-Premissas!$B$9)*(1-IF(A52&gt;=20000,Premissas!$B$30,IF(A52&gt;=15000,Premissas!$B$29,IF(A52&gt;=10000,Premissas!$B$28,IF(A52&gt;=5000,Premissas!$B$27,0)))))</f>
        <v>8558.054736842103</v>
      </c>
      <c r="D52" s="7">
        <f>B6*3*(1-Premissas!$B$10)*(1-IF(A52&gt;=20000,Premissas!$B$30,IF(A52&gt;=15000,Premissas!$B$29,IF(A52&gt;=10000,Premissas!$B$28,IF(A52&gt;=5000,Premissas!$B$27,0)))))</f>
        <v>12572.399999999998</v>
      </c>
      <c r="E52" s="8">
        <f>B6*4*(1-Premissas!$B$11)*(1-IF(A52&gt;=20000,Premissas!$B$30,IF(A52&gt;=15000,Premissas!$B$29,IF(A52&gt;=10000,Premissas!$B$28,IF(A52&gt;=5000,Premissas!$B$27,0)))))</f>
        <v>16410.290526315785</v>
      </c>
      <c r="F52" s="65">
        <f>B6*5*(1-Premissas!$B$12)*(1-IF(A52&gt;=20000,Premissas!$B$30,IF(A52&gt;=15000,Premissas!$B$29,IF(A52&gt;=10000,Premissas!$B$28,IF(A52&gt;=5000,Premissas!$B$27,0)))))</f>
        <v>20071.72631578947</v>
      </c>
      <c r="G52" s="58">
        <f>B6*6*(1-Premissas!$B$13)*(1-IF(A52&gt;=20000,Premissas!$B$30,IF(A52&gt;=15000,Premissas!$B$29,IF(A52&gt;=10000,Premissas!$B$28,IF(A52&gt;=5000,Premissas!$B$27,0)))))</f>
        <v>23556.707368421052</v>
      </c>
      <c r="H52" s="58">
        <f>B6*7*(1-Premissas!$B$14)*(1-IF(A52&gt;=20000,Premissas!$B$30,IF(A52&gt;=15000,Premissas!$B$29,IF(A52&gt;=10000,Premissas!$B$28,IF(A52&gt;=5000,Premissas!$B$27,0)))))</f>
        <v>26865.233684210521</v>
      </c>
      <c r="I52" s="58">
        <f>B6*8*(1-Premissas!$B$15)*(1-IF(A52&gt;=20000,Premissas!$B$30,IF(A52&gt;=15000,Premissas!$B$29,IF(A52&gt;=10000,Premissas!$B$28,IF(A52&gt;=5000,Premissas!$B$27,0)))))</f>
        <v>29997.305263157887</v>
      </c>
      <c r="J52" s="58">
        <f>B6*9*(1-Premissas!$B$16)*(1-IF(A52&gt;=20000,Premissas!$B$30,IF(A52&gt;=15000,Premissas!$B$29,IF(A52&gt;=10000,Premissas!$B$28,IF(A52&gt;=5000,Premissas!$B$27,0)))))</f>
        <v>32952.922105263155</v>
      </c>
      <c r="K52" s="58">
        <f>B6*10*(1-Premissas!$B$17)*(1-IF(A52&gt;=20000,Premissas!$B$30,IF(A52&gt;=15000,Premissas!$B$29,IF(A52&gt;=10000,Premissas!$B$28,IF(A52&gt;=5000,Premissas!$B$27,0)))))</f>
        <v>35732.084210526307</v>
      </c>
      <c r="L52" s="58">
        <f>B6*11*(1-Premissas!$B$18)*(1-IF(A52&gt;=20000,Premissas!$B$30,IF(A52&gt;=15000,Premissas!$B$29,IF(A52&gt;=10000,Premissas!$B$28,IF(A52&gt;=5000,Premissas!$B$27,0)))))</f>
        <v>38334.791578947363</v>
      </c>
      <c r="M52" s="58">
        <f>B6*12*(1-Premissas!$B$19)*(1-IF(A52&gt;=20000,Premissas!$B$30,IF(A52&gt;=15000,Premissas!$B$29,IF(A52&gt;=10000,Premissas!$B$28,IF(A52&gt;=5000,Premissas!$B$27,0)))))</f>
        <v>40761.044210526314</v>
      </c>
      <c r="N52" s="54">
        <f>B6*13*(1-Premissas!$B$20)*(1-IF(A52&gt;=20000,Premissas!$B$30,IF(A52&gt;=15000,Premissas!$B$29,IF(A52&gt;=10000,Premissas!$B$28,IF(A52&gt;=5000,Premissas!$B$27,0)))))</f>
        <v>43010.842105263146</v>
      </c>
      <c r="O52" s="56"/>
      <c r="P52" s="56"/>
    </row>
    <row r="53" spans="1:17" ht="15.75" customHeight="1">
      <c r="A53" s="9">
        <f>Premissas!A36</f>
        <v>3000</v>
      </c>
      <c r="B53" s="10">
        <f>B7*(1-IF(A53&gt;=20000,Premissas!$B$30,IF(A53&gt;=15000,Premissas!$B$29,IF(A53&gt;=10000,Premissas!$B$28,IF(A53&gt;=5000,Premissas!$B$27,0)))))</f>
        <v>6415.9473684210516</v>
      </c>
      <c r="C53" s="10">
        <f>B7*2*(1-Premissas!$B$9)*(1-IF(A53&gt;=20000,Premissas!$B$30,IF(A53&gt;=15000,Premissas!$B$29,IF(A53&gt;=10000,Premissas!$B$28,IF(A53&gt;=5000,Premissas!$B$27,0)))))</f>
        <v>12446.93789473684</v>
      </c>
      <c r="D53" s="10">
        <f>B7*3*(1-Premissas!$B$10)*(1-IF(A53&gt;=20000,Premissas!$B$30,IF(A53&gt;=15000,Premissas!$B$29,IF(A53&gt;=10000,Premissas!$B$28,IF(A53&gt;=5000,Premissas!$B$27,0)))))</f>
        <v>18285.449999999993</v>
      </c>
      <c r="E53" s="11">
        <f>B7*4*(1-Premissas!$B$11)*(1-IF(A53&gt;=20000,Premissas!$B$30,IF(A53&gt;=15000,Premissas!$B$29,IF(A53&gt;=10000,Premissas!$B$28,IF(A53&gt;=5000,Premissas!$B$27,0)))))</f>
        <v>23867.324210526309</v>
      </c>
      <c r="F53" s="64">
        <f>B7*5*(1-Premissas!$B$12)*(1-IF(A53&gt;=20000,Premissas!$B$30,IF(A53&gt;=15000,Premissas!$B$29,IF(A53&gt;=10000,Premissas!$B$28,IF(A53&gt;=5000,Premissas!$B$27,0)))))</f>
        <v>29192.560526315789</v>
      </c>
      <c r="G53" s="57">
        <f>B7*6*(1-Premissas!$B$13)*(1-IF(A53&gt;=20000,Premissas!$B$30,IF(A53&gt;=15000,Premissas!$B$29,IF(A53&gt;=10000,Premissas!$B$28,IF(A53&gt;=5000,Premissas!$B$27,0)))))</f>
        <v>34261.158947368414</v>
      </c>
      <c r="H53" s="57">
        <f>B7*7*(1-Premissas!$B$14)*(1-IF(A53&gt;=20000,Premissas!$B$30,IF(A53&gt;=15000,Premissas!$B$29,IF(A53&gt;=10000,Premissas!$B$28,IF(A53&gt;=5000,Premissas!$B$27,0)))))</f>
        <v>39073.119473684201</v>
      </c>
      <c r="I53" s="57">
        <f>B7*8*(1-Premissas!$B$15)*(1-IF(A53&gt;=20000,Premissas!$B$30,IF(A53&gt;=15000,Premissas!$B$29,IF(A53&gt;=10000,Premissas!$B$28,IF(A53&gt;=5000,Premissas!$B$27,0)))))</f>
        <v>43628.442105263151</v>
      </c>
      <c r="J53" s="57">
        <f>B7*9*(1-Premissas!$B$16)*(1-IF(A53&gt;=20000,Premissas!$B$30,IF(A53&gt;=15000,Premissas!$B$29,IF(A53&gt;=10000,Premissas!$B$28,IF(A53&gt;=5000,Premissas!$B$27,0)))))</f>
        <v>47927.126842105252</v>
      </c>
      <c r="K53" s="57">
        <f>B7*10*(1-Premissas!$B$17)*(1-IF(A53&gt;=20000,Premissas!$B$30,IF(A53&gt;=15000,Premissas!$B$29,IF(A53&gt;=10000,Premissas!$B$28,IF(A53&gt;=5000,Premissas!$B$27,0)))))</f>
        <v>51969.173684210524</v>
      </c>
      <c r="L53" s="57">
        <f>B7*11*(1-Premissas!$B$18)*(1-IF(A53&gt;=20000,Premissas!$B$30,IF(A53&gt;=15000,Premissas!$B$29,IF(A53&gt;=10000,Premissas!$B$28,IF(A53&gt;=5000,Premissas!$B$27,0)))))</f>
        <v>55754.582631578945</v>
      </c>
      <c r="M53" s="57">
        <f>B7*12*(1-Premissas!$B$19)*(1-IF(A53&gt;=20000,Premissas!$B$30,IF(A53&gt;=15000,Premissas!$B$29,IF(A53&gt;=10000,Premissas!$B$28,IF(A53&gt;=5000,Premissas!$B$27,0)))))</f>
        <v>59283.35368421051</v>
      </c>
      <c r="N53" s="53">
        <f>B7*13*(1-Premissas!$B$20)*(1-IF(A53&gt;=20000,Premissas!$B$30,IF(A53&gt;=15000,Premissas!$B$29,IF(A53&gt;=10000,Premissas!$B$28,IF(A53&gt;=5000,Premissas!$B$27,0)))))</f>
        <v>62555.486842105252</v>
      </c>
      <c r="O53" s="55"/>
      <c r="P53" s="55"/>
    </row>
    <row r="54" spans="1:17" ht="15.75" customHeight="1">
      <c r="A54" s="6">
        <f>Premissas!A37</f>
        <v>4000</v>
      </c>
      <c r="B54" s="7">
        <f>B8*(1-IF(A54&gt;=20000,Premissas!$B$30,IF(A54&gt;=15000,Premissas!$B$29,IF(A54&gt;=10000,Premissas!$B$28,IF(A54&gt;=5000,Premissas!$B$27,0)))))</f>
        <v>8418.9999999999982</v>
      </c>
      <c r="C54" s="7">
        <f>B8*2*(1-Premissas!$B$9)*(1-IF(A54&gt;=20000,Premissas!$B$30,IF(A54&gt;=15000,Premissas!$B$29,IF(A54&gt;=10000,Premissas!$B$28,IF(A54&gt;=5000,Premissas!$B$27,0)))))</f>
        <v>16332.859999999995</v>
      </c>
      <c r="D54" s="7">
        <f>B8*3*(1-Premissas!$B$10)*(1-IF(A54&gt;=20000,Premissas!$B$30,IF(A54&gt;=15000,Premissas!$B$29,IF(A54&gt;=10000,Premissas!$B$28,IF(A54&gt;=5000,Premissas!$B$27,0)))))</f>
        <v>23994.149999999991</v>
      </c>
      <c r="E54" s="8">
        <f>B8*4*(1-Premissas!$B$11)*(1-IF(A54&gt;=20000,Premissas!$B$30,IF(A54&gt;=15000,Premissas!$B$29,IF(A54&gt;=10000,Premissas!$B$28,IF(A54&gt;=5000,Premissas!$B$27,0)))))</f>
        <v>31318.679999999989</v>
      </c>
      <c r="F54" s="65">
        <f>B8*5*(1-Premissas!$B$12)*(1-IF(A54&gt;=20000,Premissas!$B$30,IF(A54&gt;=15000,Premissas!$B$29,IF(A54&gt;=10000,Premissas!$B$28,IF(A54&gt;=5000,Premissas!$B$27,0)))))</f>
        <v>38306.449999999997</v>
      </c>
      <c r="G54" s="58">
        <f>B8*6*(1-Premissas!$B$13)*(1-IF(A54&gt;=20000,Premissas!$B$30,IF(A54&gt;=15000,Premissas!$B$29,IF(A54&gt;=10000,Premissas!$B$28,IF(A54&gt;=5000,Premissas!$B$27,0)))))</f>
        <v>44957.459999999985</v>
      </c>
      <c r="H54" s="58">
        <f>B8*7*(1-Premissas!$B$14)*(1-IF(A54&gt;=20000,Premissas!$B$30,IF(A54&gt;=15000,Premissas!$B$29,IF(A54&gt;=10000,Premissas!$B$28,IF(A54&gt;=5000,Premissas!$B$27,0)))))</f>
        <v>51271.709999999985</v>
      </c>
      <c r="I54" s="58">
        <f>B8*8*(1-Premissas!$B$15)*(1-IF(A54&gt;=20000,Premissas!$B$30,IF(A54&gt;=15000,Premissas!$B$29,IF(A54&gt;=10000,Premissas!$B$28,IF(A54&gt;=5000,Premissas!$B$27,0)))))</f>
        <v>57249.199999999983</v>
      </c>
      <c r="J54" s="58">
        <f>B8*9*(1-Premissas!$B$16)*(1-IF(A54&gt;=20000,Premissas!$B$30,IF(A54&gt;=15000,Premissas!$B$29,IF(A54&gt;=10000,Premissas!$B$28,IF(A54&gt;=5000,Premissas!$B$27,0)))))</f>
        <v>62889.929999999986</v>
      </c>
      <c r="K54" s="58">
        <f>B8*10*(1-Premissas!$B$17)*(1-IF(A54&gt;=20000,Premissas!$B$30,IF(A54&gt;=15000,Premissas!$B$29,IF(A54&gt;=10000,Premissas!$B$28,IF(A54&gt;=5000,Premissas!$B$27,0)))))</f>
        <v>68193.899999999994</v>
      </c>
      <c r="L54" s="58">
        <f>B8*11*(1-Premissas!$B$18)*(1-IF(A54&gt;=20000,Premissas!$B$30,IF(A54&gt;=15000,Premissas!$B$29,IF(A54&gt;=10000,Premissas!$B$28,IF(A54&gt;=5000,Premissas!$B$27,0)))))</f>
        <v>73161.109999999986</v>
      </c>
      <c r="M54" s="58">
        <f>B8*12*(1-Premissas!$B$19)*(1-IF(A54&gt;=20000,Premissas!$B$30,IF(A54&gt;=15000,Premissas!$B$29,IF(A54&gt;=10000,Premissas!$B$28,IF(A54&gt;=5000,Premissas!$B$27,0)))))</f>
        <v>77791.559999999983</v>
      </c>
      <c r="N54" s="54">
        <f>B8*13*(1-Premissas!$B$20)*(1-IF(A54&gt;=20000,Premissas!$B$30,IF(A54&gt;=15000,Premissas!$B$29,IF(A54&gt;=10000,Premissas!$B$28,IF(A54&gt;=5000,Premissas!$B$27,0)))))</f>
        <v>82085.249999999971</v>
      </c>
      <c r="O54" s="56"/>
      <c r="P54" s="56"/>
    </row>
    <row r="55" spans="1:17" ht="15.75" customHeight="1">
      <c r="A55" s="9">
        <f>Premissas!A38</f>
        <v>5000</v>
      </c>
      <c r="B55" s="10">
        <f>B9*(1-IF(A55&gt;=20000,Premissas!$B$30,IF(A55&gt;=15000,Premissas!$B$29,IF(A55&gt;=10000,Premissas!$B$28,IF(A55&gt;=5000,Premissas!$B$27,0)))))</f>
        <v>9774.6842105263149</v>
      </c>
      <c r="C55" s="10">
        <f>B9*2*(1-Premissas!$B$9)*(1-IF(A55&gt;=20000,Premissas!$B$30,IF(A55&gt;=15000,Premissas!$B$29,IF(A55&gt;=10000,Premissas!$B$28,IF(A55&gt;=5000,Premissas!$B$27,0)))))</f>
        <v>18962.887368421052</v>
      </c>
      <c r="D55" s="10">
        <f>B9*3*(1-Premissas!$B$10)*(1-IF(A55&gt;=20000,Premissas!$B$30,IF(A55&gt;=15000,Premissas!$B$29,IF(A55&gt;=10000,Premissas!$B$28,IF(A55&gt;=5000,Premissas!$B$27,0)))))</f>
        <v>27857.85</v>
      </c>
      <c r="E55" s="11">
        <f>B9*4*(1-Premissas!$B$11)*(1-IF(A55&gt;=20000,Premissas!$B$30,IF(A55&gt;=15000,Premissas!$B$29,IF(A55&gt;=10000,Premissas!$B$28,IF(A55&gt;=5000,Premissas!$B$27,0)))))</f>
        <v>36361.825263157887</v>
      </c>
      <c r="F55" s="64">
        <f>B9*5*(1-Premissas!$B$12)*(1-IF(A55&gt;=20000,Premissas!$B$30,IF(A55&gt;=15000,Premissas!$B$29,IF(A55&gt;=10000,Premissas!$B$28,IF(A55&gt;=5000,Premissas!$B$27,0)))))</f>
        <v>44474.813157894736</v>
      </c>
      <c r="G55" s="57">
        <f>B9*6*(1-Premissas!$B$13)*(1-IF(A55&gt;=20000,Premissas!$B$30,IF(A55&gt;=15000,Premissas!$B$29,IF(A55&gt;=10000,Premissas!$B$28,IF(A55&gt;=5000,Premissas!$B$27,0)))))</f>
        <v>52196.813684210523</v>
      </c>
      <c r="H55" s="57">
        <f>B9*7*(1-Premissas!$B$14)*(1-IF(A55&gt;=20000,Premissas!$B$30,IF(A55&gt;=15000,Premissas!$B$29,IF(A55&gt;=10000,Premissas!$B$28,IF(A55&gt;=5000,Premissas!$B$27,0)))))</f>
        <v>59527.826842105256</v>
      </c>
      <c r="I55" s="57">
        <f>B9*8*(1-Premissas!$B$15)*(1-IF(A55&gt;=20000,Premissas!$B$30,IF(A55&gt;=15000,Premissas!$B$29,IF(A55&gt;=10000,Premissas!$B$28,IF(A55&gt;=5000,Premissas!$B$27,0)))))</f>
        <v>66467.852631578935</v>
      </c>
      <c r="J55" s="57">
        <f>B9*9*(1-Premissas!$B$16)*(1-IF(A55&gt;=20000,Premissas!$B$30,IF(A55&gt;=15000,Premissas!$B$29,IF(A55&gt;=10000,Premissas!$B$28,IF(A55&gt;=5000,Premissas!$B$27,0)))))</f>
        <v>73016.891052631574</v>
      </c>
      <c r="K55" s="57">
        <f>B9*10*(1-Premissas!$B$17)*(1-IF(A55&gt;=20000,Premissas!$B$30,IF(A55&gt;=15000,Premissas!$B$29,IF(A55&gt;=10000,Premissas!$B$28,IF(A55&gt;=5000,Premissas!$B$27,0)))))</f>
        <v>79174.942105263151</v>
      </c>
      <c r="L55" s="57">
        <f>B9*11*(1-Premissas!$B$18)*(1-IF(A55&gt;=20000,Premissas!$B$30,IF(A55&gt;=15000,Premissas!$B$29,IF(A55&gt;=10000,Premissas!$B$28,IF(A55&gt;=5000,Premissas!$B$27,0)))))</f>
        <v>84942.005789473682</v>
      </c>
      <c r="M55" s="57">
        <f>B9*12*(1-Premissas!$B$19)*(1-IF(A55&gt;=20000,Premissas!$B$30,IF(A55&gt;=15000,Premissas!$B$29,IF(A55&gt;=10000,Premissas!$B$28,IF(A55&gt;=5000,Premissas!$B$27,0)))))</f>
        <v>90318.082105263151</v>
      </c>
      <c r="N55" s="53">
        <f>B9*13*(1-Premissas!$B$20)*(1-IF(A55&gt;=20000,Premissas!$B$30,IF(A55&gt;=15000,Premissas!$B$29,IF(A55&gt;=10000,Premissas!$B$28,IF(A55&gt;=5000,Premissas!$B$27,0)))))</f>
        <v>95303.171052631573</v>
      </c>
      <c r="O55" s="55"/>
      <c r="P55" s="55"/>
    </row>
    <row r="56" spans="1:17" ht="15.75" customHeight="1">
      <c r="A56" s="6">
        <f>Premissas!A39</f>
        <v>6000</v>
      </c>
      <c r="B56" s="7">
        <f>B10*(1-IF(A56&gt;=20000,Premissas!$B$30,IF(A56&gt;=15000,Premissas!$B$29,IF(A56&gt;=10000,Premissas!$B$28,IF(A56&gt;=5000,Premissas!$B$27,0)))))</f>
        <v>11778.210526315788</v>
      </c>
      <c r="C56" s="7">
        <f>B10*2*(1-Premissas!$B$9)*(1-IF(A56&gt;=20000,Premissas!$B$30,IF(A56&gt;=15000,Premissas!$B$29,IF(A56&gt;=10000,Premissas!$B$28,IF(A56&gt;=5000,Premissas!$B$27,0)))))</f>
        <v>22849.728421052627</v>
      </c>
      <c r="D56" s="7">
        <f>B10*3*(1-Premissas!$B$10)*(1-IF(A56&gt;=20000,Premissas!$B$30,IF(A56&gt;=15000,Premissas!$B$29,IF(A56&gt;=10000,Premissas!$B$28,IF(A56&gt;=5000,Premissas!$B$27,0)))))</f>
        <v>33567.899999999994</v>
      </c>
      <c r="E56" s="8">
        <f>B10*4*(1-Premissas!$B$11)*(1-IF(A56&gt;=20000,Premissas!$B$30,IF(A56&gt;=15000,Premissas!$B$29,IF(A56&gt;=10000,Premissas!$B$28,IF(A56&gt;=5000,Premissas!$B$27,0)))))</f>
        <v>43814.943157894726</v>
      </c>
      <c r="F56" s="65">
        <f>B10*5*(1-Premissas!$B$12)*(1-IF(A56&gt;=20000,Premissas!$B$30,IF(A56&gt;=15000,Premissas!$B$29,IF(A56&gt;=10000,Premissas!$B$28,IF(A56&gt;=5000,Premissas!$B$27,0)))))</f>
        <v>53590.857894736837</v>
      </c>
      <c r="G56" s="58">
        <f>B10*6*(1-Premissas!$B$13)*(1-IF(A56&gt;=20000,Premissas!$B$30,IF(A56&gt;=15000,Premissas!$B$29,IF(A56&gt;=10000,Premissas!$B$28,IF(A56&gt;=5000,Premissas!$B$27,0)))))</f>
        <v>62895.644210526312</v>
      </c>
      <c r="H56" s="58">
        <f>B10*7*(1-Premissas!$B$14)*(1-IF(A56&gt;=20000,Premissas!$B$30,IF(A56&gt;=15000,Premissas!$B$29,IF(A56&gt;=10000,Premissas!$B$28,IF(A56&gt;=5000,Premissas!$B$27,0)))))</f>
        <v>71729.302105263152</v>
      </c>
      <c r="I56" s="58">
        <f>B10*8*(1-Premissas!$B$15)*(1-IF(A56&gt;=20000,Premissas!$B$30,IF(A56&gt;=15000,Premissas!$B$29,IF(A56&gt;=10000,Premissas!$B$28,IF(A56&gt;=5000,Premissas!$B$27,0)))))</f>
        <v>80091.831578947356</v>
      </c>
      <c r="J56" s="58">
        <f>B10*9*(1-Premissas!$B$16)*(1-IF(A56&gt;=20000,Premissas!$B$30,IF(A56&gt;=15000,Premissas!$B$29,IF(A56&gt;=10000,Premissas!$B$28,IF(A56&gt;=5000,Premissas!$B$27,0)))))</f>
        <v>87983.232631578925</v>
      </c>
      <c r="K56" s="58">
        <f>B10*10*(1-Premissas!$B$17)*(1-IF(A56&gt;=20000,Premissas!$B$30,IF(A56&gt;=15000,Premissas!$B$29,IF(A56&gt;=10000,Premissas!$B$28,IF(A56&gt;=5000,Premissas!$B$27,0)))))</f>
        <v>95403.505263157887</v>
      </c>
      <c r="L56" s="58">
        <f>B10*11*(1-Premissas!$B$18)*(1-IF(A56&gt;=20000,Premissas!$B$30,IF(A56&gt;=15000,Premissas!$B$29,IF(A56&gt;=10000,Premissas!$B$28,IF(A56&gt;=5000,Premissas!$B$27,0)))))</f>
        <v>102352.6494736842</v>
      </c>
      <c r="M56" s="58">
        <f>B10*12*(1-Premissas!$B$19)*(1-IF(A56&gt;=20000,Premissas!$B$30,IF(A56&gt;=15000,Premissas!$B$29,IF(A56&gt;=10000,Premissas!$B$28,IF(A56&gt;=5000,Premissas!$B$27,0)))))</f>
        <v>108830.66526315789</v>
      </c>
      <c r="N56" s="54">
        <f>B10*13*(1-Premissas!$B$20)*(1-IF(A56&gt;=20000,Premissas!$B$30,IF(A56&gt;=15000,Premissas!$B$29,IF(A56&gt;=10000,Premissas!$B$28,IF(A56&gt;=5000,Premissas!$B$27,0)))))</f>
        <v>114837.55263157893</v>
      </c>
      <c r="O56" s="56"/>
      <c r="P56" s="56"/>
    </row>
    <row r="57" spans="1:17" ht="15.75" customHeight="1">
      <c r="A57" s="9">
        <f>Premissas!A40</f>
        <v>7000</v>
      </c>
      <c r="B57" s="10">
        <f>B11*(1-IF(A57&gt;=20000,Premissas!$B$30,IF(A57&gt;=15000,Premissas!$B$29,IF(A57&gt;=10000,Premissas!$B$28,IF(A57&gt;=5000,Premissas!$B$27,0)))))</f>
        <v>13779.15789473684</v>
      </c>
      <c r="C57" s="10">
        <f>B11*2*(1-Premissas!$B$9)*(1-IF(A57&gt;=20000,Premissas!$B$30,IF(A57&gt;=15000,Premissas!$B$29,IF(A57&gt;=10000,Premissas!$B$28,IF(A57&gt;=5000,Premissas!$B$27,0)))))</f>
        <v>26731.566315789467</v>
      </c>
      <c r="D57" s="10">
        <f>B11*3*(1-Premissas!$B$10)*(1-IF(A57&gt;=20000,Premissas!$B$30,IF(A57&gt;=15000,Premissas!$B$29,IF(A57&gt;=10000,Premissas!$B$28,IF(A57&gt;=5000,Premissas!$B$27,0)))))</f>
        <v>39270.599999999991</v>
      </c>
      <c r="E57" s="11">
        <f>B11*4*(1-Premissas!$B$11)*(1-IF(A57&gt;=20000,Premissas!$B$30,IF(A57&gt;=15000,Premissas!$B$29,IF(A57&gt;=10000,Premissas!$B$28,IF(A57&gt;=5000,Premissas!$B$27,0)))))</f>
        <v>51258.467368421043</v>
      </c>
      <c r="F57" s="64">
        <f>B11*5*(1-Premissas!$B$12)*(1-IF(A57&gt;=20000,Premissas!$B$30,IF(A57&gt;=15000,Premissas!$B$29,IF(A57&gt;=10000,Premissas!$B$28,IF(A57&gt;=5000,Premissas!$B$27,0)))))</f>
        <v>62695.168421052622</v>
      </c>
      <c r="G57" s="57">
        <f>B11*6*(1-Premissas!$B$13)*(1-IF(A57&gt;=20000,Premissas!$B$30,IF(A57&gt;=15000,Premissas!$B$29,IF(A57&gt;=10000,Premissas!$B$28,IF(A57&gt;=5000,Premissas!$B$27,0)))))</f>
        <v>73580.703157894721</v>
      </c>
      <c r="H57" s="57">
        <f>B11*7*(1-Premissas!$B$14)*(1-IF(A57&gt;=20000,Premissas!$B$30,IF(A57&gt;=15000,Premissas!$B$29,IF(A57&gt;=10000,Premissas!$B$28,IF(A57&gt;=5000,Premissas!$B$27,0)))))</f>
        <v>83915.071578947347</v>
      </c>
      <c r="I57" s="57">
        <f>B11*8*(1-Premissas!$B$15)*(1-IF(A57&gt;=20000,Premissas!$B$30,IF(A57&gt;=15000,Premissas!$B$29,IF(A57&gt;=10000,Premissas!$B$28,IF(A57&gt;=5000,Premissas!$B$27,0)))))</f>
        <v>93698.273684210508</v>
      </c>
      <c r="J57" s="57">
        <f>B11*9*(1-Premissas!$B$16)*(1-IF(A57&gt;=20000,Premissas!$B$30,IF(A57&gt;=15000,Premissas!$B$29,IF(A57&gt;=10000,Premissas!$B$28,IF(A57&gt;=5000,Premissas!$B$27,0)))))</f>
        <v>102930.30947368419</v>
      </c>
      <c r="K57" s="57">
        <f>B11*10*(1-Premissas!$B$17)*(1-IF(A57&gt;=20000,Premissas!$B$30,IF(A57&gt;=15000,Premissas!$B$29,IF(A57&gt;=10000,Premissas!$B$28,IF(A57&gt;=5000,Premissas!$B$27,0)))))</f>
        <v>111611.1789473684</v>
      </c>
      <c r="L57" s="57">
        <f>B11*11*(1-Premissas!$B$18)*(1-IF(A57&gt;=20000,Premissas!$B$30,IF(A57&gt;=15000,Premissas!$B$29,IF(A57&gt;=10000,Premissas!$B$28,IF(A57&gt;=5000,Premissas!$B$27,0)))))</f>
        <v>119740.88210526312</v>
      </c>
      <c r="M57" s="57">
        <f>B11*12*(1-Premissas!$B$19)*(1-IF(A57&gt;=20000,Premissas!$B$30,IF(A57&gt;=15000,Premissas!$B$29,IF(A57&gt;=10000,Premissas!$B$28,IF(A57&gt;=5000,Premissas!$B$27,0)))))</f>
        <v>127319.41894736841</v>
      </c>
      <c r="N57" s="53">
        <f>B11*13*(1-Premissas!$B$20)*(1-IF(A57&gt;=20000,Premissas!$B$30,IF(A57&gt;=15000,Premissas!$B$29,IF(A57&gt;=10000,Premissas!$B$28,IF(A57&gt;=5000,Premissas!$B$27,0)))))</f>
        <v>134346.78947368421</v>
      </c>
      <c r="O57" s="55"/>
      <c r="P57" s="55"/>
    </row>
    <row r="58" spans="1:17" ht="15.75" customHeight="1">
      <c r="A58" s="6">
        <f>Premissas!A41</f>
        <v>8000</v>
      </c>
      <c r="B58" s="7">
        <f>B12*(1-IF(A58&gt;=20000,Premissas!$B$30,IF(A58&gt;=15000,Premissas!$B$29,IF(A58&gt;=10000,Premissas!$B$28,IF(A58&gt;=5000,Premissas!$B$27,0)))))</f>
        <v>15661.15789473684</v>
      </c>
      <c r="C58" s="7">
        <f>B12*2*(1-Premissas!$B$9)*(1-IF(A58&gt;=20000,Premissas!$B$30,IF(A58&gt;=15000,Premissas!$B$29,IF(A58&gt;=10000,Premissas!$B$28,IF(A58&gt;=5000,Premissas!$B$27,0)))))</f>
        <v>30382.646315789469</v>
      </c>
      <c r="D58" s="7">
        <f>B12*3*(1-Premissas!$B$10)*(1-IF(A58&gt;=20000,Premissas!$B$30,IF(A58&gt;=15000,Premissas!$B$29,IF(A58&gt;=10000,Premissas!$B$28,IF(A58&gt;=5000,Premissas!$B$27,0)))))</f>
        <v>44634.299999999988</v>
      </c>
      <c r="E58" s="8">
        <f>B12*4*(1-Premissas!$B$11)*(1-IF(A58&gt;=20000,Premissas!$B$30,IF(A58&gt;=15000,Premissas!$B$29,IF(A58&gt;=10000,Premissas!$B$28,IF(A58&gt;=5000,Premissas!$B$27,0)))))</f>
        <v>58259.507368421044</v>
      </c>
      <c r="F58" s="65">
        <f>B12*5*(1-Premissas!$B$12)*(1-IF(A58&gt;=20000,Premissas!$B$30,IF(A58&gt;=15000,Premissas!$B$29,IF(A58&gt;=10000,Premissas!$B$28,IF(A58&gt;=5000,Premissas!$B$27,0)))))</f>
        <v>71258.26842105262</v>
      </c>
      <c r="G58" s="58">
        <f>B12*6*(1-Premissas!$B$13)*(1-IF(A58&gt;=20000,Premissas!$B$30,IF(A58&gt;=15000,Premissas!$B$29,IF(A58&gt;=10000,Premissas!$B$28,IF(A58&gt;=5000,Premissas!$B$27,0)))))</f>
        <v>83630.583157894725</v>
      </c>
      <c r="H58" s="58">
        <f>B12*7*(1-Premissas!$B$14)*(1-IF(A58&gt;=20000,Premissas!$B$30,IF(A58&gt;=15000,Premissas!$B$29,IF(A58&gt;=10000,Premissas!$B$28,IF(A58&gt;=5000,Premissas!$B$27,0)))))</f>
        <v>95376.451578947352</v>
      </c>
      <c r="I58" s="58">
        <f>B12*8*(1-Premissas!$B$15)*(1-IF(A58&gt;=20000,Premissas!$B$30,IF(A58&gt;=15000,Premissas!$B$29,IF(A58&gt;=10000,Premissas!$B$28,IF(A58&gt;=5000,Premissas!$B$27,0)))))</f>
        <v>106495.87368421051</v>
      </c>
      <c r="J58" s="58">
        <f>B12*9*(1-Premissas!$B$16)*(1-IF(A58&gt;=20000,Premissas!$B$30,IF(A58&gt;=15000,Premissas!$B$29,IF(A58&gt;=10000,Premissas!$B$28,IF(A58&gt;=5000,Premissas!$B$27,0)))))</f>
        <v>116988.8494736842</v>
      </c>
      <c r="K58" s="58">
        <f>B12*10*(1-Premissas!$B$17)*(1-IF(A58&gt;=20000,Premissas!$B$30,IF(A58&gt;=15000,Premissas!$B$29,IF(A58&gt;=10000,Premissas!$B$28,IF(A58&gt;=5000,Premissas!$B$27,0)))))</f>
        <v>126855.37894736842</v>
      </c>
      <c r="L58" s="58">
        <f>B12*11*(1-Premissas!$B$18)*(1-IF(A58&gt;=20000,Premissas!$B$30,IF(A58&gt;=15000,Premissas!$B$29,IF(A58&gt;=10000,Premissas!$B$28,IF(A58&gt;=5000,Premissas!$B$27,0)))))</f>
        <v>136095.46210526314</v>
      </c>
      <c r="M58" s="58">
        <f>B12*12*(1-Premissas!$B$19)*(1-IF(A58&gt;=20000,Premissas!$B$30,IF(A58&gt;=15000,Premissas!$B$29,IF(A58&gt;=10000,Premissas!$B$28,IF(A58&gt;=5000,Premissas!$B$27,0)))))</f>
        <v>144709.09894736842</v>
      </c>
      <c r="N58" s="54">
        <f>B12*13*(1-Premissas!$B$20)*(1-IF(A58&gt;=20000,Premissas!$B$30,IF(A58&gt;=15000,Premissas!$B$29,IF(A58&gt;=10000,Premissas!$B$28,IF(A58&gt;=5000,Premissas!$B$27,0)))))</f>
        <v>152696.28947368421</v>
      </c>
      <c r="O58" s="56"/>
      <c r="P58" s="56"/>
    </row>
    <row r="59" spans="1:17" ht="15.75" customHeight="1">
      <c r="A59" s="9">
        <f>Premissas!A42</f>
        <v>9000</v>
      </c>
      <c r="B59" s="10">
        <f>B13*(1-IF(A59&gt;=20000,Premissas!$B$30,IF(A59&gt;=15000,Premissas!$B$29,IF(A59&gt;=10000,Premissas!$B$28,IF(A59&gt;=5000,Premissas!$B$27,0)))))</f>
        <v>17664.684210526317</v>
      </c>
      <c r="C59" s="10">
        <f>B13*2*(1-Premissas!$B$9)*(1-IF(A59&gt;=20000,Premissas!$B$30,IF(A59&gt;=15000,Premissas!$B$29,IF(A59&gt;=10000,Premissas!$B$28,IF(A59&gt;=5000,Premissas!$B$27,0)))))</f>
        <v>34269.487368421054</v>
      </c>
      <c r="D59" s="10">
        <f>B13*3*(1-Premissas!$B$10)*(1-IF(A59&gt;=20000,Premissas!$B$30,IF(A59&gt;=15000,Premissas!$B$29,IF(A59&gt;=10000,Premissas!$B$28,IF(A59&gt;=5000,Premissas!$B$27,0)))))</f>
        <v>50344.35</v>
      </c>
      <c r="E59" s="11">
        <f>B13*4*(1-Premissas!$B$11)*(1-IF(A59&gt;=20000,Premissas!$B$30,IF(A59&gt;=15000,Premissas!$B$29,IF(A59&gt;=10000,Premissas!$B$28,IF(A59&gt;=5000,Premissas!$B$27,0)))))</f>
        <v>65712.625263157897</v>
      </c>
      <c r="F59" s="64">
        <f>B13*5*(1-Premissas!$B$12)*(1-IF(A59&gt;=20000,Premissas!$B$30,IF(A59&gt;=15000,Premissas!$B$29,IF(A59&gt;=10000,Premissas!$B$28,IF(A59&gt;=5000,Premissas!$B$27,0)))))</f>
        <v>80374.31315789475</v>
      </c>
      <c r="G59" s="57">
        <f>B13*6*(1-Premissas!$B$13)*(1-IF(A59&gt;=20000,Premissas!$B$30,IF(A59&gt;=15000,Premissas!$B$29,IF(A59&gt;=10000,Premissas!$B$28,IF(A59&gt;=5000,Premissas!$B$27,0)))))</f>
        <v>94329.413684210522</v>
      </c>
      <c r="H59" s="57">
        <f>B13*7*(1-Premissas!$B$14)*(1-IF(A59&gt;=20000,Premissas!$B$30,IF(A59&gt;=15000,Premissas!$B$29,IF(A59&gt;=10000,Premissas!$B$28,IF(A59&gt;=5000,Premissas!$B$27,0)))))</f>
        <v>107577.92684210527</v>
      </c>
      <c r="I59" s="57">
        <f>B13*8*(1-Premissas!$B$15)*(1-IF(A59&gt;=20000,Premissas!$B$30,IF(A59&gt;=15000,Premissas!$B$29,IF(A59&gt;=10000,Premissas!$B$28,IF(A59&gt;=5000,Premissas!$B$27,0)))))</f>
        <v>120119.85263157895</v>
      </c>
      <c r="J59" s="57">
        <f>B13*9*(1-Premissas!$B$16)*(1-IF(A59&gt;=20000,Premissas!$B$30,IF(A59&gt;=15000,Premissas!$B$29,IF(A59&gt;=10000,Premissas!$B$28,IF(A59&gt;=5000,Premissas!$B$27,0)))))</f>
        <v>131955.19105263159</v>
      </c>
      <c r="K59" s="57">
        <f>B13*10*(1-Premissas!$B$17)*(1-IF(A59&gt;=20000,Premissas!$B$30,IF(A59&gt;=15000,Premissas!$B$29,IF(A59&gt;=10000,Premissas!$B$28,IF(A59&gt;=5000,Premissas!$B$27,0)))))</f>
        <v>143083.94210526318</v>
      </c>
      <c r="L59" s="57">
        <f>B13*11*(1-Premissas!$B$18)*(1-IF(A59&gt;=20000,Premissas!$B$30,IF(A59&gt;=15000,Premissas!$B$29,IF(A59&gt;=10000,Premissas!$B$28,IF(A59&gt;=5000,Premissas!$B$27,0)))))</f>
        <v>153506.10578947372</v>
      </c>
      <c r="M59" s="57">
        <f>B13*12*(1-Premissas!$B$19)*(1-IF(A59&gt;=20000,Premissas!$B$30,IF(A59&gt;=15000,Premissas!$B$29,IF(A59&gt;=10000,Premissas!$B$28,IF(A59&gt;=5000,Premissas!$B$27,0)))))</f>
        <v>163221.68210526317</v>
      </c>
      <c r="N59" s="53">
        <f>B13*13*(1-Premissas!$B$20)*(1-IF(A59&gt;=20000,Premissas!$B$30,IF(A59&gt;=15000,Premissas!$B$29,IF(A59&gt;=10000,Premissas!$B$28,IF(A59&gt;=5000,Premissas!$B$27,0)))))</f>
        <v>172230.67105263157</v>
      </c>
      <c r="O59" s="55"/>
      <c r="P59" s="55"/>
    </row>
    <row r="60" spans="1:17" ht="15.75" customHeight="1">
      <c r="A60" s="6">
        <f>Premissas!A43</f>
        <v>10000</v>
      </c>
      <c r="B60" s="7">
        <f>B14*(1-IF(A60&gt;=20000,Premissas!$B$30,IF(A60&gt;=15000,Premissas!$B$29,IF(A60&gt;=10000,Premissas!$B$28,IF(A60&gt;=5000,Premissas!$B$27,0)))))</f>
        <v>18097.210526315786</v>
      </c>
      <c r="C60" s="7">
        <f>B14*2*(1-Premissas!$B$9)*(1-IF(A60&gt;=20000,Premissas!$B$30,IF(A60&gt;=15000,Premissas!$B$29,IF(A60&gt;=10000,Premissas!$B$28,IF(A60&gt;=5000,Premissas!$B$27,0)))))</f>
        <v>35108.588421052627</v>
      </c>
      <c r="D60" s="7">
        <f>B14*3*(1-Premissas!$B$10)*(1-IF(A60&gt;=20000,Premissas!$B$30,IF(A60&gt;=15000,Premissas!$B$29,IF(A60&gt;=10000,Premissas!$B$28,IF(A60&gt;=5000,Premissas!$B$27,0)))))</f>
        <v>51577.049999999988</v>
      </c>
      <c r="E60" s="8">
        <f>B14*4*(1-Premissas!$B$11)*(1-IF(A60&gt;=20000,Premissas!$B$30,IF(A60&gt;=15000,Premissas!$B$29,IF(A60&gt;=10000,Premissas!$B$28,IF(A60&gt;=5000,Premissas!$B$27,0)))))</f>
        <v>67321.623157894719</v>
      </c>
      <c r="F60" s="65">
        <f>B14*5*(1-Premissas!$B$12)*(1-IF(A60&gt;=20000,Premissas!$B$30,IF(A60&gt;=15000,Premissas!$B$29,IF(A60&gt;=10000,Premissas!$B$28,IF(A60&gt;=5000,Premissas!$B$27,0)))))</f>
        <v>82342.307894736834</v>
      </c>
      <c r="G60" s="58">
        <f>B14*6*(1-Premissas!$B$13)*(1-IF(A60&gt;=20000,Premissas!$B$30,IF(A60&gt;=15000,Premissas!$B$29,IF(A60&gt;=10000,Premissas!$B$28,IF(A60&gt;=5000,Premissas!$B$27,0)))))</f>
        <v>96639.104210526304</v>
      </c>
      <c r="H60" s="58">
        <f>B14*7*(1-Premissas!$B$14)*(1-IF(A60&gt;=20000,Premissas!$B$30,IF(A60&gt;=15000,Premissas!$B$29,IF(A60&gt;=10000,Premissas!$B$28,IF(A60&gt;=5000,Premissas!$B$27,0)))))</f>
        <v>110212.01210526314</v>
      </c>
      <c r="I60" s="58">
        <f>B14*8*(1-Premissas!$B$15)*(1-IF(A60&gt;=20000,Premissas!$B$30,IF(A60&gt;=15000,Premissas!$B$29,IF(A60&gt;=10000,Premissas!$B$28,IF(A60&gt;=5000,Premissas!$B$27,0)))))</f>
        <v>123061.03157894734</v>
      </c>
      <c r="J60" s="58">
        <f>B14*9*(1-Premissas!$B$16)*(1-IF(A60&gt;=20000,Premissas!$B$30,IF(A60&gt;=15000,Premissas!$B$29,IF(A60&gt;=10000,Premissas!$B$28,IF(A60&gt;=5000,Premissas!$B$27,0)))))</f>
        <v>135186.16263157892</v>
      </c>
      <c r="K60" s="58">
        <f>B14*10*(1-Premissas!$B$17)*(1-IF(A60&gt;=20000,Premissas!$B$30,IF(A60&gt;=15000,Premissas!$B$29,IF(A60&gt;=10000,Premissas!$B$28,IF(A60&gt;=5000,Premissas!$B$27,0)))))</f>
        <v>146587.40526315788</v>
      </c>
      <c r="L60" s="58">
        <f>B14*11*(1-Premissas!$B$18)*(1-IF(A60&gt;=20000,Premissas!$B$30,IF(A60&gt;=15000,Premissas!$B$29,IF(A60&gt;=10000,Premissas!$B$28,IF(A60&gt;=5000,Premissas!$B$27,0)))))</f>
        <v>157264.75947368419</v>
      </c>
      <c r="M60" s="58">
        <f>B14*12*(1-Premissas!$B$19)*(1-IF(A60&gt;=20000,Premissas!$B$30,IF(A60&gt;=15000,Premissas!$B$29,IF(A60&gt;=10000,Premissas!$B$28,IF(A60&gt;=5000,Premissas!$B$27,0)))))</f>
        <v>167218.22526315786</v>
      </c>
      <c r="N60" s="54">
        <f>B14*13*(1-Premissas!$B$20)*(1-IF(A60&gt;=20000,Premissas!$B$30,IF(A60&gt;=15000,Premissas!$B$29,IF(A60&gt;=10000,Premissas!$B$28,IF(A60&gt;=5000,Premissas!$B$27,0)))))</f>
        <v>176447.80263157893</v>
      </c>
      <c r="O60" s="56"/>
      <c r="P60" s="56"/>
    </row>
    <row r="61" spans="1:17" ht="15.75" customHeight="1">
      <c r="A61" s="9">
        <f>Premissas!A44</f>
        <v>11000</v>
      </c>
      <c r="B61" s="10">
        <f>B15*(1-IF(A61&gt;=20000,Premissas!$B$30,IF(A61&gt;=15000,Premissas!$B$29,IF(A61&gt;=10000,Premissas!$B$28,IF(A61&gt;=5000,Premissas!$B$27,0)))))</f>
        <v>20247.999999999996</v>
      </c>
      <c r="C61" s="10">
        <f>B15*2*(1-Premissas!$B$9)*(1-IF(A61&gt;=20000,Premissas!$B$30,IF(A61&gt;=15000,Premissas!$B$29,IF(A61&gt;=10000,Premissas!$B$28,IF(A61&gt;=5000,Premissas!$B$27,0)))))</f>
        <v>39281.119999999995</v>
      </c>
      <c r="D61" s="10">
        <f>B15*3*(1-Premissas!$B$10)*(1-IF(A61&gt;=20000,Premissas!$B$30,IF(A61&gt;=15000,Premissas!$B$29,IF(A61&gt;=10000,Premissas!$B$28,IF(A61&gt;=5000,Premissas!$B$27,0)))))</f>
        <v>57706.799999999981</v>
      </c>
      <c r="E61" s="11">
        <f>B15*4*(1-Premissas!$B$11)*(1-IF(A61&gt;=20000,Premissas!$B$30,IF(A61&gt;=15000,Premissas!$B$29,IF(A61&gt;=10000,Premissas!$B$28,IF(A61&gt;=5000,Premissas!$B$27,0)))))</f>
        <v>75322.559999999983</v>
      </c>
      <c r="F61" s="64">
        <f>B15*5*(1-Premissas!$B$12)*(1-IF(A61&gt;=20000,Premissas!$B$30,IF(A61&gt;=15000,Premissas!$B$29,IF(A61&gt;=10000,Premissas!$B$28,IF(A61&gt;=5000,Premissas!$B$27,0)))))</f>
        <v>92128.4</v>
      </c>
      <c r="G61" s="57">
        <f>B15*6*(1-Premissas!$B$13)*(1-IF(A61&gt;=20000,Premissas!$B$30,IF(A61&gt;=15000,Premissas!$B$29,IF(A61&gt;=10000,Premissas!$B$28,IF(A61&gt;=5000,Premissas!$B$27,0)))))</f>
        <v>108124.31999999998</v>
      </c>
      <c r="H61" s="57">
        <f>B15*7*(1-Premissas!$B$14)*(1-IF(A61&gt;=20000,Premissas!$B$30,IF(A61&gt;=15000,Premissas!$B$29,IF(A61&gt;=10000,Premissas!$B$28,IF(A61&gt;=5000,Premissas!$B$27,0)))))</f>
        <v>123310.31999999998</v>
      </c>
      <c r="I61" s="57">
        <f>B15*8*(1-Premissas!$B$15)*(1-IF(A61&gt;=20000,Premissas!$B$30,IF(A61&gt;=15000,Premissas!$B$29,IF(A61&gt;=10000,Premissas!$B$28,IF(A61&gt;=5000,Premissas!$B$27,0)))))</f>
        <v>137686.39999999997</v>
      </c>
      <c r="J61" s="57">
        <f>B15*9*(1-Premissas!$B$16)*(1-IF(A61&gt;=20000,Premissas!$B$30,IF(A61&gt;=15000,Premissas!$B$29,IF(A61&gt;=10000,Premissas!$B$28,IF(A61&gt;=5000,Premissas!$B$27,0)))))</f>
        <v>151252.55999999997</v>
      </c>
      <c r="K61" s="57">
        <f>B15*10*(1-Premissas!$B$17)*(1-IF(A61&gt;=20000,Premissas!$B$30,IF(A61&gt;=15000,Premissas!$B$29,IF(A61&gt;=10000,Premissas!$B$28,IF(A61&gt;=5000,Premissas!$B$27,0)))))</f>
        <v>164008.79999999999</v>
      </c>
      <c r="L61" s="57">
        <f>B15*11*(1-Premissas!$B$18)*(1-IF(A61&gt;=20000,Premissas!$B$30,IF(A61&gt;=15000,Premissas!$B$29,IF(A61&gt;=10000,Premissas!$B$28,IF(A61&gt;=5000,Premissas!$B$27,0)))))</f>
        <v>175955.12</v>
      </c>
      <c r="M61" s="57">
        <f>B15*12*(1-Premissas!$B$19)*(1-IF(A61&gt;=20000,Premissas!$B$30,IF(A61&gt;=15000,Premissas!$B$29,IF(A61&gt;=10000,Premissas!$B$28,IF(A61&gt;=5000,Premissas!$B$27,0)))))</f>
        <v>187091.51999999996</v>
      </c>
      <c r="N61" s="53">
        <f>B15*13*(1-Premissas!$B$20)*(1-IF(A61&gt;=20000,Premissas!$B$30,IF(A61&gt;=15000,Premissas!$B$29,IF(A61&gt;=10000,Premissas!$B$28,IF(A61&gt;=5000,Premissas!$B$27,0)))))</f>
        <v>197417.99999999994</v>
      </c>
      <c r="O61" s="55"/>
      <c r="P61" s="55"/>
    </row>
    <row r="62" spans="1:17" ht="15.75" customHeight="1">
      <c r="A62" s="6">
        <f>Premissas!A45</f>
        <v>12000</v>
      </c>
      <c r="B62" s="7">
        <f>B16*(1-IF(A62&gt;=20000,Premissas!$B$30,IF(A62&gt;=15000,Premissas!$B$29,IF(A62&gt;=10000,Premissas!$B$28,IF(A62&gt;=5000,Premissas!$B$27,0)))))</f>
        <v>22092.10526315789</v>
      </c>
      <c r="C62" s="7">
        <f>B16*2*(1-Premissas!$B$9)*(1-IF(A62&gt;=20000,Premissas!$B$30,IF(A62&gt;=15000,Premissas!$B$29,IF(A62&gt;=10000,Premissas!$B$28,IF(A62&gt;=5000,Premissas!$B$27,0)))))</f>
        <v>42858.684210526306</v>
      </c>
      <c r="D62" s="7">
        <f>B16*3*(1-Premissas!$B$10)*(1-IF(A62&gt;=20000,Premissas!$B$30,IF(A62&gt;=15000,Premissas!$B$29,IF(A62&gt;=10000,Premissas!$B$28,IF(A62&gt;=5000,Premissas!$B$27,0)))))</f>
        <v>62962.499999999978</v>
      </c>
      <c r="E62" s="8">
        <f>B16*4*(1-Premissas!$B$11)*(1-IF(A62&gt;=20000,Premissas!$B$30,IF(A62&gt;=15000,Premissas!$B$29,IF(A62&gt;=10000,Premissas!$B$28,IF(A62&gt;=5000,Premissas!$B$27,0)))))</f>
        <v>82182.631578947345</v>
      </c>
      <c r="F62" s="65">
        <f>B16*5*(1-Premissas!$B$12)*(1-IF(A62&gt;=20000,Premissas!$B$30,IF(A62&gt;=15000,Premissas!$B$29,IF(A62&gt;=10000,Premissas!$B$28,IF(A62&gt;=5000,Premissas!$B$27,0)))))</f>
        <v>100519.0789473684</v>
      </c>
      <c r="G62" s="58">
        <f>B16*6*(1-Premissas!$B$13)*(1-IF(A62&gt;=20000,Premissas!$B$30,IF(A62&gt;=15000,Premissas!$B$29,IF(A62&gt;=10000,Premissas!$B$28,IF(A62&gt;=5000,Premissas!$B$27,0)))))</f>
        <v>117971.84210526313</v>
      </c>
      <c r="H62" s="58">
        <f>B16*7*(1-Premissas!$B$14)*(1-IF(A62&gt;=20000,Premissas!$B$30,IF(A62&gt;=15000,Premissas!$B$29,IF(A62&gt;=10000,Premissas!$B$28,IF(A62&gt;=5000,Premissas!$B$27,0)))))</f>
        <v>134540.92105263154</v>
      </c>
      <c r="I62" s="58">
        <f>B16*8*(1-Premissas!$B$15)*(1-IF(A62&gt;=20000,Premissas!$B$30,IF(A62&gt;=15000,Premissas!$B$29,IF(A62&gt;=10000,Premissas!$B$28,IF(A62&gt;=5000,Premissas!$B$27,0)))))</f>
        <v>150226.31578947365</v>
      </c>
      <c r="J62" s="58">
        <f>B16*9*(1-Premissas!$B$16)*(1-IF(A62&gt;=20000,Premissas!$B$30,IF(A62&gt;=15000,Premissas!$B$29,IF(A62&gt;=10000,Premissas!$B$28,IF(A62&gt;=5000,Premissas!$B$27,0)))))</f>
        <v>165028.02631578944</v>
      </c>
      <c r="K62" s="58">
        <f>B16*10*(1-Premissas!$B$17)*(1-IF(A62&gt;=20000,Premissas!$B$30,IF(A62&gt;=15000,Premissas!$B$29,IF(A62&gt;=10000,Premissas!$B$28,IF(A62&gt;=5000,Premissas!$B$27,0)))))</f>
        <v>178946.05263157893</v>
      </c>
      <c r="L62" s="58">
        <f>B16*11*(1-Premissas!$B$18)*(1-IF(A62&gt;=20000,Premissas!$B$30,IF(A62&gt;=15000,Premissas!$B$29,IF(A62&gt;=10000,Premissas!$B$28,IF(A62&gt;=5000,Premissas!$B$27,0)))))</f>
        <v>191980.39473684208</v>
      </c>
      <c r="M62" s="58">
        <f>B16*12*(1-Premissas!$B$19)*(1-IF(A62&gt;=20000,Premissas!$B$30,IF(A62&gt;=15000,Premissas!$B$29,IF(A62&gt;=10000,Premissas!$B$28,IF(A62&gt;=5000,Premissas!$B$27,0)))))</f>
        <v>204131.0526315789</v>
      </c>
      <c r="N62" s="54">
        <f>B16*13*(1-Premissas!$B$20)*(1-IF(A62&gt;=20000,Premissas!$B$30,IF(A62&gt;=15000,Premissas!$B$29,IF(A62&gt;=10000,Premissas!$B$28,IF(A62&gt;=5000,Premissas!$B$27,0)))))</f>
        <v>215398.02631578944</v>
      </c>
      <c r="O62" s="56"/>
      <c r="P62" s="56"/>
    </row>
    <row r="63" spans="1:17" ht="15.75" customHeight="1">
      <c r="A63" s="9">
        <f>Premissas!A46</f>
        <v>13000</v>
      </c>
      <c r="B63" s="10">
        <f>B17*(1-IF(A63&gt;=20000,Premissas!$B$30,IF(A63&gt;=15000,Premissas!$B$29,IF(A63&gt;=10000,Premissas!$B$28,IF(A63&gt;=5000,Premissas!$B$27,0)))))</f>
        <v>24240.315789473683</v>
      </c>
      <c r="C63" s="10">
        <f>B17*2*(1-Premissas!$B$9)*(1-IF(A63&gt;=20000,Premissas!$B$30,IF(A63&gt;=15000,Premissas!$B$29,IF(A63&gt;=10000,Premissas!$B$28,IF(A63&gt;=5000,Premissas!$B$27,0)))))</f>
        <v>47026.212631578943</v>
      </c>
      <c r="D63" s="10">
        <f>B17*3*(1-Premissas!$B$10)*(1-IF(A63&gt;=20000,Premissas!$B$30,IF(A63&gt;=15000,Premissas!$B$29,IF(A63&gt;=10000,Premissas!$B$28,IF(A63&gt;=5000,Premissas!$B$27,0)))))</f>
        <v>69084.899999999994</v>
      </c>
      <c r="E63" s="11">
        <f>B17*4*(1-Premissas!$B$11)*(1-IF(A63&gt;=20000,Premissas!$B$30,IF(A63&gt;=15000,Premissas!$B$29,IF(A63&gt;=10000,Premissas!$B$28,IF(A63&gt;=5000,Premissas!$B$27,0)))))</f>
        <v>90173.974736842094</v>
      </c>
      <c r="F63" s="64">
        <f>B17*5*(1-Premissas!$B$12)*(1-IF(A63&gt;=20000,Premissas!$B$30,IF(A63&gt;=15000,Premissas!$B$29,IF(A63&gt;=10000,Premissas!$B$28,IF(A63&gt;=5000,Premissas!$B$27,0)))))</f>
        <v>110293.43684210526</v>
      </c>
      <c r="G63" s="57">
        <f>B17*6*(1-Premissas!$B$13)*(1-IF(A63&gt;=20000,Premissas!$B$30,IF(A63&gt;=15000,Premissas!$B$29,IF(A63&gt;=10000,Premissas!$B$28,IF(A63&gt;=5000,Premissas!$B$27,0)))))</f>
        <v>129443.28631578948</v>
      </c>
      <c r="H63" s="57">
        <f>B17*7*(1-Premissas!$B$14)*(1-IF(A63&gt;=20000,Premissas!$B$30,IF(A63&gt;=15000,Premissas!$B$29,IF(A63&gt;=10000,Premissas!$B$28,IF(A63&gt;=5000,Premissas!$B$27,0)))))</f>
        <v>147623.52315789473</v>
      </c>
      <c r="I63" s="57">
        <f>B17*8*(1-Premissas!$B$15)*(1-IF(A63&gt;=20000,Premissas!$B$30,IF(A63&gt;=15000,Premissas!$B$29,IF(A63&gt;=10000,Premissas!$B$28,IF(A63&gt;=5000,Premissas!$B$27,0)))))</f>
        <v>164834.14736842105</v>
      </c>
      <c r="J63" s="57">
        <f>B17*9*(1-Premissas!$B$16)*(1-IF(A63&gt;=20000,Premissas!$B$30,IF(A63&gt;=15000,Premissas!$B$29,IF(A63&gt;=10000,Premissas!$B$28,IF(A63&gt;=5000,Premissas!$B$27,0)))))</f>
        <v>181075.15894736841</v>
      </c>
      <c r="K63" s="57">
        <f>B17*10*(1-Premissas!$B$17)*(1-IF(A63&gt;=20000,Premissas!$B$30,IF(A63&gt;=15000,Premissas!$B$29,IF(A63&gt;=10000,Premissas!$B$28,IF(A63&gt;=5000,Premissas!$B$27,0)))))</f>
        <v>196346.55789473685</v>
      </c>
      <c r="L63" s="57">
        <f>B17*11*(1-Premissas!$B$18)*(1-IF(A63&gt;=20000,Premissas!$B$30,IF(A63&gt;=15000,Premissas!$B$29,IF(A63&gt;=10000,Premissas!$B$28,IF(A63&gt;=5000,Premissas!$B$27,0)))))</f>
        <v>210648.34421052629</v>
      </c>
      <c r="M63" s="57">
        <f>B17*12*(1-Premissas!$B$19)*(1-IF(A63&gt;=20000,Premissas!$B$30,IF(A63&gt;=15000,Premissas!$B$29,IF(A63&gt;=10000,Premissas!$B$28,IF(A63&gt;=5000,Premissas!$B$27,0)))))</f>
        <v>223980.51789473684</v>
      </c>
      <c r="N63" s="53">
        <f>B17*13*(1-Premissas!$B$20)*(1-IF(A63&gt;=20000,Premissas!$B$30,IF(A63&gt;=15000,Premissas!$B$29,IF(A63&gt;=10000,Premissas!$B$28,IF(A63&gt;=5000,Premissas!$B$27,0)))))</f>
        <v>236343.0789473684</v>
      </c>
      <c r="O63" s="55"/>
      <c r="P63" s="55"/>
    </row>
    <row r="64" spans="1:17" ht="15.75" customHeight="1">
      <c r="A64" s="6">
        <f>Premissas!A47</f>
        <v>14000</v>
      </c>
      <c r="B64" s="7">
        <f>B18*(1-IF(A64&gt;=20000,Premissas!$B$30,IF(A64&gt;=15000,Premissas!$B$29,IF(A64&gt;=10000,Premissas!$B$28,IF(A64&gt;=5000,Premissas!$B$27,0)))))</f>
        <v>26087</v>
      </c>
      <c r="C64" s="7">
        <f>B18*2*(1-Premissas!$B$9)*(1-IF(A64&gt;=20000,Premissas!$B$30,IF(A64&gt;=15000,Premissas!$B$29,IF(A64&gt;=10000,Premissas!$B$28,IF(A64&gt;=5000,Premissas!$B$27,0)))))</f>
        <v>50608.78</v>
      </c>
      <c r="D64" s="7">
        <f>B18*3*(1-Premissas!$B$10)*(1-IF(A64&gt;=20000,Premissas!$B$30,IF(A64&gt;=15000,Premissas!$B$29,IF(A64&gt;=10000,Premissas!$B$28,IF(A64&gt;=5000,Premissas!$B$27,0)))))</f>
        <v>74347.95</v>
      </c>
      <c r="E64" s="8">
        <f>B18*4*(1-Premissas!$B$11)*(1-IF(A64&gt;=20000,Premissas!$B$30,IF(A64&gt;=15000,Premissas!$B$29,IF(A64&gt;=10000,Premissas!$B$28,IF(A64&gt;=5000,Premissas!$B$27,0)))))</f>
        <v>97043.64</v>
      </c>
      <c r="F64" s="65">
        <f>B18*5*(1-Premissas!$B$12)*(1-IF(A64&gt;=20000,Premissas!$B$30,IF(A64&gt;=15000,Premissas!$B$29,IF(A64&gt;=10000,Premissas!$B$28,IF(A64&gt;=5000,Premissas!$B$27,0)))))</f>
        <v>118695.85</v>
      </c>
      <c r="G64" s="58">
        <f>B18*6*(1-Premissas!$B$13)*(1-IF(A64&gt;=20000,Premissas!$B$30,IF(A64&gt;=15000,Premissas!$B$29,IF(A64&gt;=10000,Premissas!$B$28,IF(A64&gt;=5000,Premissas!$B$27,0)))))</f>
        <v>139304.58000000002</v>
      </c>
      <c r="H64" s="58">
        <f>B18*7*(1-Premissas!$B$14)*(1-IF(A64&gt;=20000,Premissas!$B$30,IF(A64&gt;=15000,Premissas!$B$29,IF(A64&gt;=10000,Premissas!$B$28,IF(A64&gt;=5000,Premissas!$B$27,0)))))</f>
        <v>158869.82999999999</v>
      </c>
      <c r="I64" s="58">
        <f>B18*8*(1-Premissas!$B$15)*(1-IF(A64&gt;=20000,Premissas!$B$30,IF(A64&gt;=15000,Premissas!$B$29,IF(A64&gt;=10000,Premissas!$B$28,IF(A64&gt;=5000,Premissas!$B$27,0)))))</f>
        <v>177391.6</v>
      </c>
      <c r="J64" s="58">
        <f>B18*9*(1-Premissas!$B$16)*(1-IF(A64&gt;=20000,Premissas!$B$30,IF(A64&gt;=15000,Premissas!$B$29,IF(A64&gt;=10000,Premissas!$B$28,IF(A64&gt;=5000,Premissas!$B$27,0)))))</f>
        <v>194869.88999999998</v>
      </c>
      <c r="K64" s="58">
        <f>B18*10*(1-Premissas!$B$17)*(1-IF(A64&gt;=20000,Premissas!$B$30,IF(A64&gt;=15000,Premissas!$B$29,IF(A64&gt;=10000,Premissas!$B$28,IF(A64&gt;=5000,Premissas!$B$27,0)))))</f>
        <v>211304.7</v>
      </c>
      <c r="L64" s="58">
        <f>B18*11*(1-Premissas!$B$18)*(1-IF(A64&gt;=20000,Premissas!$B$30,IF(A64&gt;=15000,Premissas!$B$29,IF(A64&gt;=10000,Premissas!$B$28,IF(A64&gt;=5000,Premissas!$B$27,0)))))</f>
        <v>226696.03</v>
      </c>
      <c r="M64" s="58">
        <f>B18*12*(1-Premissas!$B$19)*(1-IF(A64&gt;=20000,Premissas!$B$30,IF(A64&gt;=15000,Premissas!$B$29,IF(A64&gt;=10000,Premissas!$B$28,IF(A64&gt;=5000,Premissas!$B$27,0)))))</f>
        <v>241043.88</v>
      </c>
      <c r="N64" s="54">
        <f>B18*13*(1-Premissas!$B$20)*(1-IF(A64&gt;=20000,Premissas!$B$30,IF(A64&gt;=15000,Premissas!$B$29,IF(A64&gt;=10000,Premissas!$B$28,IF(A64&gt;=5000,Premissas!$B$27,0)))))</f>
        <v>254348.25</v>
      </c>
      <c r="O64" s="56"/>
      <c r="P64" s="56"/>
    </row>
    <row r="65" spans="1:16" ht="15.75" customHeight="1">
      <c r="A65" s="9">
        <f>Premissas!A48</f>
        <v>15000</v>
      </c>
      <c r="B65" s="10">
        <f>B19*(1-IF(A65&gt;=20000,Premissas!$B$30,IF(A65&gt;=15000,Premissas!$B$29,IF(A65&gt;=10000,Premissas!$B$28,IF(A65&gt;=5000,Premissas!$B$27,0)))))</f>
        <v>27931.105263157893</v>
      </c>
      <c r="C65" s="10">
        <f>B19*2*(1-Premissas!$B$9)*(1-IF(A65&gt;=20000,Premissas!$B$30,IF(A65&gt;=15000,Premissas!$B$29,IF(A65&gt;=10000,Premissas!$B$28,IF(A65&gt;=5000,Premissas!$B$27,0)))))</f>
        <v>54186.344210526309</v>
      </c>
      <c r="D65" s="10">
        <f>B19*3*(1-Premissas!$B$10)*(1-IF(A65&gt;=20000,Premissas!$B$30,IF(A65&gt;=15000,Premissas!$B$29,IF(A65&gt;=10000,Premissas!$B$28,IF(A65&gt;=5000,Premissas!$B$27,0)))))</f>
        <v>79603.649999999994</v>
      </c>
      <c r="E65" s="11">
        <f>B19*4*(1-Premissas!$B$11)*(1-IF(A65&gt;=20000,Premissas!$B$30,IF(A65&gt;=15000,Premissas!$B$29,IF(A65&gt;=10000,Premissas!$B$28,IF(A65&gt;=5000,Premissas!$B$27,0)))))</f>
        <v>103903.71157894736</v>
      </c>
      <c r="F65" s="64">
        <f>B19*5*(1-Premissas!$B$12)*(1-IF(A65&gt;=20000,Premissas!$B$30,IF(A65&gt;=15000,Premissas!$B$29,IF(A65&gt;=10000,Premissas!$B$28,IF(A65&gt;=5000,Premissas!$B$27,0)))))</f>
        <v>127086.52894736842</v>
      </c>
      <c r="G65" s="57">
        <f>B19*6*(1-Premissas!$B$13)*(1-IF(A65&gt;=20000,Premissas!$B$30,IF(A65&gt;=15000,Premissas!$B$29,IF(A65&gt;=10000,Premissas!$B$28,IF(A65&gt;=5000,Premissas!$B$27,0)))))</f>
        <v>149152.10210526315</v>
      </c>
      <c r="H65" s="57">
        <f>B19*7*(1-Premissas!$B$14)*(1-IF(A65&gt;=20000,Premissas!$B$30,IF(A65&gt;=15000,Premissas!$B$29,IF(A65&gt;=10000,Premissas!$B$28,IF(A65&gt;=5000,Premissas!$B$27,0)))))</f>
        <v>170100.43105263158</v>
      </c>
      <c r="I65" s="57">
        <f>B19*8*(1-Premissas!$B$15)*(1-IF(A65&gt;=20000,Premissas!$B$30,IF(A65&gt;=15000,Premissas!$B$29,IF(A65&gt;=10000,Premissas!$B$28,IF(A65&gt;=5000,Premissas!$B$27,0)))))</f>
        <v>189931.51578947366</v>
      </c>
      <c r="J65" s="57">
        <f>B19*9*(1-Premissas!$B$16)*(1-IF(A65&gt;=20000,Premissas!$B$30,IF(A65&gt;=15000,Premissas!$B$29,IF(A65&gt;=10000,Premissas!$B$28,IF(A65&gt;=5000,Premissas!$B$27,0)))))</f>
        <v>208645.35631578945</v>
      </c>
      <c r="K65" s="57">
        <f>B19*10*(1-Premissas!$B$17)*(1-IF(A65&gt;=20000,Premissas!$B$30,IF(A65&gt;=15000,Premissas!$B$29,IF(A65&gt;=10000,Premissas!$B$28,IF(A65&gt;=5000,Premissas!$B$27,0)))))</f>
        <v>226241.95263157896</v>
      </c>
      <c r="L65" s="57">
        <f>B19*11*(1-Premissas!$B$18)*(1-IF(A65&gt;=20000,Premissas!$B$30,IF(A65&gt;=15000,Premissas!$B$29,IF(A65&gt;=10000,Premissas!$B$28,IF(A65&gt;=5000,Premissas!$B$27,0)))))</f>
        <v>242721.30473684214</v>
      </c>
      <c r="M65" s="57">
        <f>B19*12*(1-Premissas!$B$19)*(1-IF(A65&gt;=20000,Premissas!$B$30,IF(A65&gt;=15000,Premissas!$B$29,IF(A65&gt;=10000,Premissas!$B$28,IF(A65&gt;=5000,Premissas!$B$27,0)))))</f>
        <v>258083.41263157895</v>
      </c>
      <c r="N65" s="53">
        <f>B19*13*(1-Premissas!$B$20)*(1-IF(A65&gt;=20000,Premissas!$B$30,IF(A65&gt;=15000,Premissas!$B$29,IF(A65&gt;=10000,Premissas!$B$28,IF(A65&gt;=5000,Premissas!$B$27,0)))))</f>
        <v>272328.27631578944</v>
      </c>
      <c r="O65" s="55"/>
      <c r="P65" s="55"/>
    </row>
    <row r="66" spans="1:16" ht="15.75" customHeight="1">
      <c r="A66" s="6">
        <f>Premissas!A49</f>
        <v>16000</v>
      </c>
      <c r="B66" s="7">
        <f>B20*(1-IF(A66&gt;=20000,Premissas!$B$30,IF(A66&gt;=15000,Premissas!$B$29,IF(A66&gt;=10000,Premissas!$B$28,IF(A66&gt;=5000,Premissas!$B$27,0)))))</f>
        <v>29656.263157894737</v>
      </c>
      <c r="C66" s="7">
        <f>B20*2*(1-Premissas!$B$9)*(1-IF(A66&gt;=20000,Premissas!$B$30,IF(A66&gt;=15000,Premissas!$B$29,IF(A66&gt;=10000,Premissas!$B$28,IF(A66&gt;=5000,Premissas!$B$27,0)))))</f>
        <v>57533.150526315789</v>
      </c>
      <c r="D66" s="7">
        <f>B20*3*(1-Premissas!$B$10)*(1-IF(A66&gt;=20000,Premissas!$B$30,IF(A66&gt;=15000,Premissas!$B$29,IF(A66&gt;=10000,Premissas!$B$28,IF(A66&gt;=5000,Premissas!$B$27,0)))))</f>
        <v>84520.35</v>
      </c>
      <c r="E66" s="8">
        <f>B20*4*(1-Premissas!$B$11)*(1-IF(A66&gt;=20000,Premissas!$B$30,IF(A66&gt;=15000,Premissas!$B$29,IF(A66&gt;=10000,Premissas!$B$28,IF(A66&gt;=5000,Premissas!$B$27,0)))))</f>
        <v>110321.29894736841</v>
      </c>
      <c r="F66" s="65">
        <f>B20*5*(1-Premissas!$B$12)*(1-IF(A66&gt;=20000,Premissas!$B$30,IF(A66&gt;=15000,Premissas!$B$29,IF(A66&gt;=10000,Premissas!$B$28,IF(A66&gt;=5000,Premissas!$B$27,0)))))</f>
        <v>134935.99736842106</v>
      </c>
      <c r="G66" s="58">
        <f>B20*6*(1-Premissas!$B$13)*(1-IF(A66&gt;=20000,Premissas!$B$30,IF(A66&gt;=15000,Premissas!$B$29,IF(A66&gt;=10000,Premissas!$B$28,IF(A66&gt;=5000,Premissas!$B$27,0)))))</f>
        <v>158364.44526315789</v>
      </c>
      <c r="H66" s="58">
        <f>B20*7*(1-Premissas!$B$14)*(1-IF(A66&gt;=20000,Premissas!$B$30,IF(A66&gt;=15000,Premissas!$B$29,IF(A66&gt;=10000,Premissas!$B$28,IF(A66&gt;=5000,Premissas!$B$27,0)))))</f>
        <v>180606.64263157893</v>
      </c>
      <c r="I66" s="58">
        <f>B20*8*(1-Premissas!$B$15)*(1-IF(A66&gt;=20000,Premissas!$B$30,IF(A66&gt;=15000,Premissas!$B$29,IF(A66&gt;=10000,Premissas!$B$28,IF(A66&gt;=5000,Premissas!$B$27,0)))))</f>
        <v>201662.5894736842</v>
      </c>
      <c r="J66" s="58">
        <f>B20*9*(1-Premissas!$B$16)*(1-IF(A66&gt;=20000,Premissas!$B$30,IF(A66&gt;=15000,Premissas!$B$29,IF(A66&gt;=10000,Premissas!$B$28,IF(A66&gt;=5000,Premissas!$B$27,0)))))</f>
        <v>221532.28578947368</v>
      </c>
      <c r="K66" s="58">
        <f>B20*10*(1-Premissas!$B$17)*(1-IF(A66&gt;=20000,Premissas!$B$30,IF(A66&gt;=15000,Premissas!$B$29,IF(A66&gt;=10000,Premissas!$B$28,IF(A66&gt;=5000,Premissas!$B$27,0)))))</f>
        <v>240215.73157894737</v>
      </c>
      <c r="L66" s="58">
        <f>B20*11*(1-Premissas!$B$18)*(1-IF(A66&gt;=20000,Premissas!$B$30,IF(A66&gt;=15000,Premissas!$B$29,IF(A66&gt;=10000,Premissas!$B$28,IF(A66&gt;=5000,Premissas!$B$27,0)))))</f>
        <v>257712.92684210525</v>
      </c>
      <c r="M66" s="58">
        <f>B20*12*(1-Premissas!$B$19)*(1-IF(A66&gt;=20000,Premissas!$B$30,IF(A66&gt;=15000,Premissas!$B$29,IF(A66&gt;=10000,Premissas!$B$28,IF(A66&gt;=5000,Premissas!$B$27,0)))))</f>
        <v>274023.87157894741</v>
      </c>
      <c r="N66" s="54">
        <f>B20*13*(1-Premissas!$B$20)*(1-IF(A66&gt;=20000,Premissas!$B$30,IF(A66&gt;=15000,Premissas!$B$29,IF(A66&gt;=10000,Premissas!$B$28,IF(A66&gt;=5000,Premissas!$B$27,0)))))</f>
        <v>289148.56578947371</v>
      </c>
      <c r="O66" s="56"/>
      <c r="P66" s="56"/>
    </row>
    <row r="67" spans="1:16" ht="15.75" customHeight="1">
      <c r="A67" s="9">
        <f>Premissas!A50</f>
        <v>17000</v>
      </c>
      <c r="B67" s="10">
        <f>B21*(1-IF(A67&gt;=20000,Premissas!$B$30,IF(A67&gt;=15000,Premissas!$B$29,IF(A67&gt;=10000,Premissas!$B$28,IF(A67&gt;=5000,Premissas!$B$27,0)))))</f>
        <v>31502.947368421046</v>
      </c>
      <c r="C67" s="10">
        <f>B21*2*(1-Premissas!$B$9)*(1-IF(A67&gt;=20000,Premissas!$B$30,IF(A67&gt;=15000,Premissas!$B$29,IF(A67&gt;=10000,Premissas!$B$28,IF(A67&gt;=5000,Premissas!$B$27,0)))))</f>
        <v>61115.71789473683</v>
      </c>
      <c r="D67" s="10">
        <f>B21*3*(1-Premissas!$B$10)*(1-IF(A67&gt;=20000,Premissas!$B$30,IF(A67&gt;=15000,Premissas!$B$29,IF(A67&gt;=10000,Premissas!$B$28,IF(A67&gt;=5000,Premissas!$B$27,0)))))</f>
        <v>89783.39999999998</v>
      </c>
      <c r="E67" s="11">
        <f>B21*4*(1-Premissas!$B$11)*(1-IF(A67&gt;=20000,Premissas!$B$30,IF(A67&gt;=15000,Premissas!$B$29,IF(A67&gt;=10000,Premissas!$B$28,IF(A67&gt;=5000,Premissas!$B$27,0)))))</f>
        <v>117190.96421052629</v>
      </c>
      <c r="F67" s="64">
        <f>B21*5*(1-Premissas!$B$12)*(1-IF(A67&gt;=20000,Premissas!$B$30,IF(A67&gt;=15000,Premissas!$B$29,IF(A67&gt;=10000,Premissas!$B$28,IF(A67&gt;=5000,Premissas!$B$27,0)))))</f>
        <v>143338.41052631577</v>
      </c>
      <c r="G67" s="57">
        <f>B21*6*(1-Premissas!$B$13)*(1-IF(A67&gt;=20000,Premissas!$B$30,IF(A67&gt;=15000,Premissas!$B$29,IF(A67&gt;=10000,Premissas!$B$28,IF(A67&gt;=5000,Premissas!$B$27,0)))))</f>
        <v>168225.7389473684</v>
      </c>
      <c r="H67" s="57">
        <f>B21*7*(1-Premissas!$B$14)*(1-IF(A67&gt;=20000,Premissas!$B$30,IF(A67&gt;=15000,Premissas!$B$29,IF(A67&gt;=10000,Premissas!$B$28,IF(A67&gt;=5000,Premissas!$B$27,0)))))</f>
        <v>191852.94947368419</v>
      </c>
      <c r="I67" s="57">
        <f>B21*8*(1-Premissas!$B$15)*(1-IF(A67&gt;=20000,Premissas!$B$30,IF(A67&gt;=15000,Premissas!$B$29,IF(A67&gt;=10000,Premissas!$B$28,IF(A67&gt;=5000,Premissas!$B$27,0)))))</f>
        <v>214220.0421052631</v>
      </c>
      <c r="J67" s="57">
        <f>B21*9*(1-Premissas!$B$16)*(1-IF(A67&gt;=20000,Premissas!$B$30,IF(A67&gt;=15000,Premissas!$B$29,IF(A67&gt;=10000,Premissas!$B$28,IF(A67&gt;=5000,Premissas!$B$27,0)))))</f>
        <v>235327.01684210522</v>
      </c>
      <c r="K67" s="57">
        <f>B21*10*(1-Premissas!$B$17)*(1-IF(A67&gt;=20000,Premissas!$B$30,IF(A67&gt;=15000,Premissas!$B$29,IF(A67&gt;=10000,Premissas!$B$28,IF(A67&gt;=5000,Premissas!$B$27,0)))))</f>
        <v>255173.87368421047</v>
      </c>
      <c r="L67" s="57">
        <f>B21*11*(1-Premissas!$B$18)*(1-IF(A67&gt;=20000,Premissas!$B$30,IF(A67&gt;=15000,Premissas!$B$29,IF(A67&gt;=10000,Premissas!$B$28,IF(A67&gt;=5000,Premissas!$B$27,0)))))</f>
        <v>273760.61263157893</v>
      </c>
      <c r="M67" s="57">
        <f>B21*12*(1-Premissas!$B$19)*(1-IF(A67&gt;=20000,Premissas!$B$30,IF(A67&gt;=15000,Premissas!$B$29,IF(A67&gt;=10000,Premissas!$B$28,IF(A67&gt;=5000,Premissas!$B$27,0)))))</f>
        <v>291087.23368421051</v>
      </c>
      <c r="N67" s="53">
        <f>B21*13*(1-Premissas!$B$20)*(1-IF(A67&gt;=20000,Premissas!$B$30,IF(A67&gt;=15000,Premissas!$B$29,IF(A67&gt;=10000,Premissas!$B$28,IF(A67&gt;=5000,Premissas!$B$27,0)))))</f>
        <v>307153.73684210517</v>
      </c>
      <c r="O67" s="55"/>
      <c r="P67" s="55"/>
    </row>
    <row r="68" spans="1:16" ht="15.75" customHeight="1">
      <c r="A68" s="6">
        <f>Premissas!A51</f>
        <v>18000</v>
      </c>
      <c r="B68" s="7">
        <f>B22*(1-IF(A68&gt;=20000,Premissas!$B$30,IF(A68&gt;=15000,Premissas!$B$29,IF(A68&gt;=10000,Premissas!$B$28,IF(A68&gt;=5000,Premissas!$B$27,0)))))</f>
        <v>33347.052631578947</v>
      </c>
      <c r="C68" s="7">
        <f>B22*2*(1-Premissas!$B$9)*(1-IF(A68&gt;=20000,Premissas!$B$30,IF(A68&gt;=15000,Premissas!$B$29,IF(A68&gt;=10000,Premissas!$B$28,IF(A68&gt;=5000,Premissas!$B$27,0)))))</f>
        <v>64693.282105263155</v>
      </c>
      <c r="D68" s="7">
        <f>B22*3*(1-Premissas!$B$10)*(1-IF(A68&gt;=20000,Premissas!$B$30,IF(A68&gt;=15000,Premissas!$B$29,IF(A68&gt;=10000,Premissas!$B$28,IF(A68&gt;=5000,Premissas!$B$27,0)))))</f>
        <v>95039.099999999991</v>
      </c>
      <c r="E68" s="8">
        <f>B22*4*(1-Premissas!$B$11)*(1-IF(A68&gt;=20000,Premissas!$B$30,IF(A68&gt;=15000,Premissas!$B$29,IF(A68&gt;=10000,Premissas!$B$28,IF(A68&gt;=5000,Premissas!$B$27,0)))))</f>
        <v>124051.03578947367</v>
      </c>
      <c r="F68" s="65">
        <f>B22*5*(1-Premissas!$B$12)*(1-IF(A68&gt;=20000,Premissas!$B$30,IF(A68&gt;=15000,Premissas!$B$29,IF(A68&gt;=10000,Premissas!$B$28,IF(A68&gt;=5000,Premissas!$B$27,0)))))</f>
        <v>151729.0894736842</v>
      </c>
      <c r="G68" s="58">
        <f>B22*6*(1-Premissas!$B$13)*(1-IF(A68&gt;=20000,Premissas!$B$30,IF(A68&gt;=15000,Premissas!$B$29,IF(A68&gt;=10000,Premissas!$B$28,IF(A68&gt;=5000,Premissas!$B$27,0)))))</f>
        <v>178073.26105263157</v>
      </c>
      <c r="H68" s="58">
        <f>B22*7*(1-Premissas!$B$14)*(1-IF(A68&gt;=20000,Premissas!$B$30,IF(A68&gt;=15000,Premissas!$B$29,IF(A68&gt;=10000,Premissas!$B$28,IF(A68&gt;=5000,Premissas!$B$27,0)))))</f>
        <v>203083.55052631578</v>
      </c>
      <c r="I68" s="58">
        <f>B22*8*(1-Premissas!$B$15)*(1-IF(A68&gt;=20000,Premissas!$B$30,IF(A68&gt;=15000,Premissas!$B$29,IF(A68&gt;=10000,Premissas!$B$28,IF(A68&gt;=5000,Premissas!$B$27,0)))))</f>
        <v>226759.95789473684</v>
      </c>
      <c r="J68" s="58">
        <f>B22*9*(1-Premissas!$B$16)*(1-IF(A68&gt;=20000,Premissas!$B$30,IF(A68&gt;=15000,Premissas!$B$29,IF(A68&gt;=10000,Premissas!$B$28,IF(A68&gt;=5000,Premissas!$B$27,0)))))</f>
        <v>249102.48315789472</v>
      </c>
      <c r="K68" s="58">
        <f>B22*10*(1-Premissas!$B$17)*(1-IF(A68&gt;=20000,Premissas!$B$30,IF(A68&gt;=15000,Premissas!$B$29,IF(A68&gt;=10000,Premissas!$B$28,IF(A68&gt;=5000,Premissas!$B$27,0)))))</f>
        <v>270111.12631578947</v>
      </c>
      <c r="L68" s="58">
        <f>B22*11*(1-Premissas!$B$18)*(1-IF(A68&gt;=20000,Premissas!$B$30,IF(A68&gt;=15000,Premissas!$B$29,IF(A68&gt;=10000,Premissas!$B$28,IF(A68&gt;=5000,Premissas!$B$27,0)))))</f>
        <v>289785.88736842107</v>
      </c>
      <c r="M68" s="58">
        <f>B22*12*(1-Premissas!$B$19)*(1-IF(A68&gt;=20000,Premissas!$B$30,IF(A68&gt;=15000,Premissas!$B$29,IF(A68&gt;=10000,Premissas!$B$28,IF(A68&gt;=5000,Premissas!$B$27,0)))))</f>
        <v>308126.76631578949</v>
      </c>
      <c r="N68" s="54">
        <f>B22*13*(1-Premissas!$B$20)*(1-IF(A68&gt;=20000,Premissas!$B$30,IF(A68&gt;=15000,Premissas!$B$29,IF(A68&gt;=10000,Premissas!$B$28,IF(A68&gt;=5000,Premissas!$B$27,0)))))</f>
        <v>325133.76315789472</v>
      </c>
      <c r="O68" s="56"/>
      <c r="P68" s="56"/>
    </row>
    <row r="69" spans="1:16" ht="15.75" customHeight="1">
      <c r="A69" s="9">
        <f>Premissas!A52</f>
        <v>19000</v>
      </c>
      <c r="B69" s="10">
        <f>B23*(1-IF(A69&gt;=20000,Premissas!$B$30,IF(A69&gt;=15000,Premissas!$B$29,IF(A69&gt;=10000,Premissas!$B$28,IF(A69&gt;=5000,Premissas!$B$27,0)))))</f>
        <v>35072.210526315786</v>
      </c>
      <c r="C69" s="10">
        <f>B23*2*(1-Premissas!$B$9)*(1-IF(A69&gt;=20000,Premissas!$B$30,IF(A69&gt;=15000,Premissas!$B$29,IF(A69&gt;=10000,Premissas!$B$28,IF(A69&gt;=5000,Premissas!$B$27,0)))))</f>
        <v>68040.088421052627</v>
      </c>
      <c r="D69" s="10">
        <f>B23*3*(1-Premissas!$B$10)*(1-IF(A69&gt;=20000,Premissas!$B$30,IF(A69&gt;=15000,Premissas!$B$29,IF(A69&gt;=10000,Premissas!$B$28,IF(A69&gt;=5000,Premissas!$B$27,0)))))</f>
        <v>99955.799999999988</v>
      </c>
      <c r="E69" s="11">
        <f>B23*4*(1-Premissas!$B$11)*(1-IF(A69&gt;=20000,Premissas!$B$30,IF(A69&gt;=15000,Premissas!$B$29,IF(A69&gt;=10000,Premissas!$B$28,IF(A69&gt;=5000,Premissas!$B$27,0)))))</f>
        <v>130468.62315789472</v>
      </c>
      <c r="F69" s="64">
        <f>B23*5*(1-Premissas!$B$12)*(1-IF(A69&gt;=20000,Premissas!$B$30,IF(A69&gt;=15000,Premissas!$B$29,IF(A69&gt;=10000,Premissas!$B$28,IF(A69&gt;=5000,Premissas!$B$27,0)))))</f>
        <v>159578.55789473682</v>
      </c>
      <c r="G69" s="57">
        <f>B23*6*(1-Premissas!$B$13)*(1-IF(A69&gt;=20000,Premissas!$B$30,IF(A69&gt;=15000,Premissas!$B$29,IF(A69&gt;=10000,Premissas!$B$28,IF(A69&gt;=5000,Premissas!$B$27,0)))))</f>
        <v>187285.6042105263</v>
      </c>
      <c r="H69" s="57">
        <f>B23*7*(1-Premissas!$B$14)*(1-IF(A69&gt;=20000,Premissas!$B$30,IF(A69&gt;=15000,Premissas!$B$29,IF(A69&gt;=10000,Premissas!$B$28,IF(A69&gt;=5000,Premissas!$B$27,0)))))</f>
        <v>213589.76210526313</v>
      </c>
      <c r="I69" s="57">
        <f>B23*8*(1-Premissas!$B$15)*(1-IF(A69&gt;=20000,Premissas!$B$30,IF(A69&gt;=15000,Premissas!$B$29,IF(A69&gt;=10000,Premissas!$B$28,IF(A69&gt;=5000,Premissas!$B$27,0)))))</f>
        <v>238491.03157894735</v>
      </c>
      <c r="J69" s="57">
        <f>B23*9*(1-Premissas!$B$16)*(1-IF(A69&gt;=20000,Premissas!$B$30,IF(A69&gt;=15000,Premissas!$B$29,IF(A69&gt;=10000,Premissas!$B$28,IF(A69&gt;=5000,Premissas!$B$27,0)))))</f>
        <v>261989.41263157892</v>
      </c>
      <c r="K69" s="57">
        <f>B23*10*(1-Premissas!$B$17)*(1-IF(A69&gt;=20000,Premissas!$B$30,IF(A69&gt;=15000,Premissas!$B$29,IF(A69&gt;=10000,Premissas!$B$28,IF(A69&gt;=5000,Premissas!$B$27,0)))))</f>
        <v>284084.90526315791</v>
      </c>
      <c r="L69" s="57">
        <f>B23*11*(1-Premissas!$B$18)*(1-IF(A69&gt;=20000,Premissas!$B$30,IF(A69&gt;=15000,Premissas!$B$29,IF(A69&gt;=10000,Premissas!$B$28,IF(A69&gt;=5000,Premissas!$B$27,0)))))</f>
        <v>304777.50947368419</v>
      </c>
      <c r="M69" s="57">
        <f>B23*12*(1-Premissas!$B$19)*(1-IF(A69&gt;=20000,Premissas!$B$30,IF(A69&gt;=15000,Premissas!$B$29,IF(A69&gt;=10000,Premissas!$B$28,IF(A69&gt;=5000,Premissas!$B$27,0)))))</f>
        <v>324067.22526315786</v>
      </c>
      <c r="N69" s="53">
        <f>B23*13*(1-Premissas!$B$20)*(1-IF(A69&gt;=20000,Premissas!$B$30,IF(A69&gt;=15000,Premissas!$B$29,IF(A69&gt;=10000,Premissas!$B$28,IF(A69&gt;=5000,Premissas!$B$27,0)))))</f>
        <v>341954.05263157893</v>
      </c>
      <c r="O69" s="55"/>
      <c r="P69" s="55"/>
    </row>
    <row r="70" spans="1:16" ht="15.75" customHeight="1">
      <c r="A70" s="35">
        <f>Premissas!A53</f>
        <v>20000</v>
      </c>
      <c r="B70" s="36">
        <f>B24*(1-IF(A70&gt;=20000,Premissas!$B$30,IF(A70&gt;=15000,Premissas!$B$29,IF(A70&gt;=10000,Premissas!$B$28,IF(A70&gt;=5000,Premissas!$B$27,0)))))</f>
        <v>35866.263157894733</v>
      </c>
      <c r="C70" s="36">
        <f>B24*2*(1-Premissas!$B$9)*(1-IF(A70&gt;=20000,Premissas!$B$30,IF(A70&gt;=15000,Premissas!$B$29,IF(A70&gt;=10000,Premissas!$B$28,IF(A70&gt;=5000,Premissas!$B$27,0)))))</f>
        <v>69580.550526315783</v>
      </c>
      <c r="D70" s="36">
        <f>B24*3*(1-Premissas!$B$10)*(1-IF(A70&gt;=20000,Premissas!$B$30,IF(A70&gt;=15000,Premissas!$B$29,IF(A70&gt;=10000,Premissas!$B$28,IF(A70&gt;=5000,Premissas!$B$27,0)))))</f>
        <v>102218.84999999999</v>
      </c>
      <c r="E70" s="42">
        <f>B24*4*(1-Premissas!$B$11)*(1-IF(A70&gt;=20000,Premissas!$B$30,IF(A70&gt;=15000,Premissas!$B$29,IF(A70&gt;=10000,Premissas!$B$28,IF(A70&gt;=5000,Premissas!$B$27,0)))))</f>
        <v>133422.49894736841</v>
      </c>
      <c r="F70" s="65">
        <f>B24*5*(1-Premissas!$B$12)*(1-IF(A70&gt;=20000,Premissas!$B$30,IF(A70&gt;=15000,Premissas!$B$29,IF(A70&gt;=10000,Premissas!$B$28,IF(A70&gt;=5000,Premissas!$B$27,0)))))</f>
        <v>163191.49736842103</v>
      </c>
      <c r="G70" s="58">
        <f>B24*6*(1-Premissas!$B$13)*(1-IF(A70&gt;=20000,Premissas!$B$30,IF(A70&gt;=15000,Premissas!$B$29,IF(A70&gt;=10000,Premissas!$B$28,IF(A70&gt;=5000,Premissas!$B$27,0)))))</f>
        <v>191525.84526315788</v>
      </c>
      <c r="H70" s="58">
        <f>B24*7*(1-Premissas!$B$14)*(1-IF(A70&gt;=20000,Premissas!$B$30,IF(A70&gt;=15000,Premissas!$B$29,IF(A70&gt;=10000,Premissas!$B$28,IF(A70&gt;=5000,Premissas!$B$27,0)))))</f>
        <v>218425.54263157892</v>
      </c>
      <c r="I70" s="58">
        <f>B24*8*(1-Premissas!$B$15)*(1-IF(A70&gt;=20000,Premissas!$B$30,IF(A70&gt;=15000,Premissas!$B$29,IF(A70&gt;=10000,Premissas!$B$28,IF(A70&gt;=5000,Premissas!$B$27,0)))))</f>
        <v>243890.58947368417</v>
      </c>
      <c r="J70" s="58">
        <f>B24*9*(1-Premissas!$B$16)*(1-IF(A70&gt;=20000,Premissas!$B$30,IF(A70&gt;=15000,Premissas!$B$29,IF(A70&gt;=10000,Premissas!$B$28,IF(A70&gt;=5000,Premissas!$B$27,0)))))</f>
        <v>267920.98578947363</v>
      </c>
      <c r="K70" s="58">
        <f>B24*10*(1-Premissas!$B$17)*(1-IF(A70&gt;=20000,Premissas!$B$30,IF(A70&gt;=15000,Premissas!$B$29,IF(A70&gt;=10000,Premissas!$B$28,IF(A70&gt;=5000,Premissas!$B$27,0)))))</f>
        <v>290516.73157894734</v>
      </c>
      <c r="L70" s="58">
        <f>B24*11*(1-Premissas!$B$18)*(1-IF(A70&gt;=20000,Premissas!$B$30,IF(A70&gt;=15000,Premissas!$B$29,IF(A70&gt;=10000,Premissas!$B$28,IF(A70&gt;=5000,Premissas!$B$27,0)))))</f>
        <v>311677.82684210525</v>
      </c>
      <c r="M70" s="58">
        <f>B24*12*(1-Premissas!$B$19)*(1-IF(A70&gt;=20000,Premissas!$B$30,IF(A70&gt;=15000,Premissas!$B$29,IF(A70&gt;=10000,Premissas!$B$28,IF(A70&gt;=5000,Premissas!$B$27,0)))))</f>
        <v>331404.27157894731</v>
      </c>
      <c r="N70" s="54">
        <f>B24*13*(1-Premissas!$B$20)*(1-IF(A70&gt;=20000,Premissas!$B$30,IF(A70&gt;=15000,Premissas!$B$29,IF(A70&gt;=10000,Premissas!$B$28,IF(A70&gt;=5000,Premissas!$B$27,0)))))</f>
        <v>349696.06578947365</v>
      </c>
      <c r="O70" s="56"/>
      <c r="P70" s="56"/>
    </row>
    <row r="71" spans="1:16" ht="15.75" customHeight="1"/>
    <row r="72" spans="1:16" ht="15.75" customHeight="1">
      <c r="A72" s="75" t="s">
        <v>81</v>
      </c>
    </row>
    <row r="73" spans="1:16" ht="15.75" customHeight="1">
      <c r="A73" s="77" t="s">
        <v>0</v>
      </c>
      <c r="B73" s="76" t="s">
        <v>82</v>
      </c>
      <c r="C73" s="76" t="s">
        <v>5</v>
      </c>
      <c r="D73" s="76" t="s">
        <v>6</v>
      </c>
      <c r="E73" s="76" t="s">
        <v>7</v>
      </c>
      <c r="F73" s="76" t="s">
        <v>83</v>
      </c>
      <c r="G73" s="76" t="s">
        <v>84</v>
      </c>
      <c r="H73" s="76" t="s">
        <v>85</v>
      </c>
      <c r="I73" s="76" t="s">
        <v>86</v>
      </c>
      <c r="J73" s="76" t="s">
        <v>87</v>
      </c>
      <c r="K73" s="76" t="s">
        <v>88</v>
      </c>
      <c r="L73" s="76" t="s">
        <v>89</v>
      </c>
      <c r="M73" s="76" t="s">
        <v>90</v>
      </c>
      <c r="N73" s="76" t="s">
        <v>91</v>
      </c>
    </row>
    <row r="74" spans="1:16" ht="15.75" customHeight="1">
      <c r="A74" s="78">
        <f>A28</f>
        <v>1000</v>
      </c>
      <c r="B74" s="80">
        <f>1-(C28/C$28)</f>
        <v>0</v>
      </c>
      <c r="C74" s="80">
        <f>1-(D28/C$28)</f>
        <v>3.0000000000000027E-2</v>
      </c>
      <c r="D74" s="80">
        <f>1-(E28/C$28)</f>
        <v>5.0000000000000044E-2</v>
      </c>
      <c r="E74" s="80">
        <f>1-(F28/C$28)</f>
        <v>6.9999999999999951E-2</v>
      </c>
      <c r="F74" s="80">
        <f>1-(G28/C$28)</f>
        <v>8.9999999999999969E-2</v>
      </c>
      <c r="G74" s="80">
        <f>1-(H28/C$28)</f>
        <v>0.10999999999999999</v>
      </c>
      <c r="H74" s="80">
        <f>1-(I28/C$28)</f>
        <v>0.13</v>
      </c>
      <c r="I74" s="80">
        <f>1-(J28/C$28)</f>
        <v>0.15000000000000002</v>
      </c>
      <c r="J74" s="80">
        <f>1-(K28/C$28)</f>
        <v>0.17000000000000004</v>
      </c>
      <c r="K74" s="80">
        <f>1-(L28/C$28)</f>
        <v>0.18999999999999995</v>
      </c>
      <c r="L74" s="80">
        <f>1-(M28/C$28)</f>
        <v>0.20999999999999996</v>
      </c>
      <c r="M74" s="80">
        <f>1-(N28/C$28)</f>
        <v>0.22999999999999998</v>
      </c>
      <c r="N74" s="80">
        <f>1-(O28/C$28)</f>
        <v>0.25</v>
      </c>
    </row>
    <row r="75" spans="1:16" ht="15.75" customHeight="1">
      <c r="A75" s="79">
        <f t="shared" ref="A75:A93" si="0">A29</f>
        <v>2000</v>
      </c>
      <c r="B75" s="81">
        <f t="shared" ref="B75:B93" si="1">1-(C29/C$28)</f>
        <v>0.16247651784643657</v>
      </c>
      <c r="C75" s="81">
        <f t="shared" ref="C75:C93" si="2">1-(D29/C$28)</f>
        <v>0.18760222231104362</v>
      </c>
      <c r="D75" s="81">
        <f t="shared" ref="D75:D93" si="3">1-(E29/C$28)</f>
        <v>0.20435269195411487</v>
      </c>
      <c r="E75" s="81">
        <f t="shared" ref="E75:E93" si="4">1-(F29/C$28)</f>
        <v>0.22110316159718613</v>
      </c>
      <c r="F75" s="81">
        <f t="shared" ref="F75:F93" si="5">1-(G29/C$28)</f>
        <v>0.23785363124025727</v>
      </c>
      <c r="G75" s="81">
        <f t="shared" ref="G75:G93" si="6">1-(H29/C$28)</f>
        <v>0.25460410088332863</v>
      </c>
      <c r="H75" s="81">
        <f t="shared" ref="H75:H93" si="7">1-(I29/C$28)</f>
        <v>0.27135457052639989</v>
      </c>
      <c r="I75" s="81">
        <f t="shared" ref="I75:I93" si="8">1-(J29/C$28)</f>
        <v>0.28810504016947114</v>
      </c>
      <c r="J75" s="81">
        <f t="shared" ref="J75:J93" si="9">1-(K29/C$28)</f>
        <v>0.30485550981254239</v>
      </c>
      <c r="K75" s="81">
        <f t="shared" ref="K75:K93" si="10">1-(L29/C$28)</f>
        <v>0.32160597945561353</v>
      </c>
      <c r="L75" s="81">
        <f t="shared" ref="L75:L93" si="11">1-(M29/C$28)</f>
        <v>0.3383564490986849</v>
      </c>
      <c r="M75" s="81">
        <f t="shared" ref="M75:M93" si="12">1-(N29/C$28)</f>
        <v>0.35510691874175615</v>
      </c>
      <c r="N75" s="81">
        <f t="shared" ref="N75:N93" si="13">1-(O29/C$28)</f>
        <v>0.37185738838482751</v>
      </c>
    </row>
    <row r="76" spans="1:16" ht="15.75" customHeight="1">
      <c r="A76" s="78">
        <f t="shared" si="0"/>
        <v>3000</v>
      </c>
      <c r="B76" s="80">
        <f t="shared" si="1"/>
        <v>0.18793050614866014</v>
      </c>
      <c r="C76" s="80">
        <f t="shared" si="2"/>
        <v>0.21229259096420028</v>
      </c>
      <c r="D76" s="80">
        <f t="shared" si="3"/>
        <v>0.22853398084122711</v>
      </c>
      <c r="E76" s="80">
        <f t="shared" si="4"/>
        <v>0.24477537071825395</v>
      </c>
      <c r="F76" s="80">
        <f t="shared" si="5"/>
        <v>0.26101676059528067</v>
      </c>
      <c r="G76" s="80">
        <f t="shared" si="6"/>
        <v>0.2772581504723074</v>
      </c>
      <c r="H76" s="80">
        <f t="shared" si="7"/>
        <v>0.29349954034933434</v>
      </c>
      <c r="I76" s="80">
        <f t="shared" si="8"/>
        <v>0.30974093022636118</v>
      </c>
      <c r="J76" s="80">
        <f t="shared" si="9"/>
        <v>0.3259823201033879</v>
      </c>
      <c r="K76" s="80">
        <f t="shared" si="10"/>
        <v>0.34222370998041463</v>
      </c>
      <c r="L76" s="80">
        <f t="shared" si="11"/>
        <v>0.35846509985744146</v>
      </c>
      <c r="M76" s="80">
        <f t="shared" si="12"/>
        <v>0.3747064897344683</v>
      </c>
      <c r="N76" s="80">
        <f t="shared" si="13"/>
        <v>0.39094787961149502</v>
      </c>
    </row>
    <row r="77" spans="1:16" ht="15.75" customHeight="1">
      <c r="A77" s="79">
        <f t="shared" si="0"/>
        <v>4000</v>
      </c>
      <c r="B77" s="81">
        <f t="shared" si="1"/>
        <v>0.20080239018346058</v>
      </c>
      <c r="C77" s="81">
        <f t="shared" si="2"/>
        <v>0.22477831847795682</v>
      </c>
      <c r="D77" s="81">
        <f t="shared" si="3"/>
        <v>0.24076227067428757</v>
      </c>
      <c r="E77" s="81">
        <f t="shared" si="4"/>
        <v>0.25674622287061843</v>
      </c>
      <c r="F77" s="81">
        <f t="shared" si="5"/>
        <v>0.27273017506694908</v>
      </c>
      <c r="G77" s="81">
        <f t="shared" si="6"/>
        <v>0.28871412726327994</v>
      </c>
      <c r="H77" s="81">
        <f t="shared" si="7"/>
        <v>0.30469807945961069</v>
      </c>
      <c r="I77" s="81">
        <f t="shared" si="8"/>
        <v>0.32068203165594145</v>
      </c>
      <c r="J77" s="81">
        <f t="shared" si="9"/>
        <v>0.33666598385227231</v>
      </c>
      <c r="K77" s="81">
        <f t="shared" si="10"/>
        <v>0.35264993604860306</v>
      </c>
      <c r="L77" s="81">
        <f t="shared" si="11"/>
        <v>0.36863388824493382</v>
      </c>
      <c r="M77" s="81">
        <f t="shared" si="12"/>
        <v>0.38461784044126468</v>
      </c>
      <c r="N77" s="81">
        <f t="shared" si="13"/>
        <v>0.40060179263759543</v>
      </c>
    </row>
    <row r="78" spans="1:16" ht="15.75" customHeight="1">
      <c r="A78" s="78">
        <f t="shared" si="0"/>
        <v>5000</v>
      </c>
      <c r="B78" s="80">
        <f t="shared" si="1"/>
        <v>0.25768815700067937</v>
      </c>
      <c r="C78" s="80">
        <f t="shared" si="2"/>
        <v>0.27995751229065902</v>
      </c>
      <c r="D78" s="80">
        <f t="shared" si="3"/>
        <v>0.29480374915064533</v>
      </c>
      <c r="E78" s="80">
        <f t="shared" si="4"/>
        <v>0.30964998601063187</v>
      </c>
      <c r="F78" s="80">
        <f t="shared" si="5"/>
        <v>0.32449622287061819</v>
      </c>
      <c r="G78" s="80">
        <f t="shared" si="6"/>
        <v>0.33934245973060462</v>
      </c>
      <c r="H78" s="80">
        <f t="shared" si="7"/>
        <v>0.35418869659059105</v>
      </c>
      <c r="I78" s="80">
        <f t="shared" si="8"/>
        <v>0.36903493345057747</v>
      </c>
      <c r="J78" s="80">
        <f t="shared" si="9"/>
        <v>0.3838811703105639</v>
      </c>
      <c r="K78" s="80">
        <f t="shared" si="10"/>
        <v>0.39872740717055022</v>
      </c>
      <c r="L78" s="80">
        <f t="shared" si="11"/>
        <v>0.41357364403053665</v>
      </c>
      <c r="M78" s="80">
        <f t="shared" si="12"/>
        <v>0.42841988089052307</v>
      </c>
      <c r="N78" s="80">
        <f t="shared" si="13"/>
        <v>0.4432661177505095</v>
      </c>
    </row>
    <row r="79" spans="1:16" ht="15.75" customHeight="1">
      <c r="A79" s="79">
        <f t="shared" si="0"/>
        <v>6000</v>
      </c>
      <c r="B79" s="81">
        <f t="shared" si="1"/>
        <v>0.25461316066456141</v>
      </c>
      <c r="C79" s="81">
        <f t="shared" si="2"/>
        <v>0.27697476584462466</v>
      </c>
      <c r="D79" s="81">
        <f t="shared" si="3"/>
        <v>0.29188250263133342</v>
      </c>
      <c r="E79" s="81">
        <f t="shared" si="4"/>
        <v>0.30679023941804218</v>
      </c>
      <c r="F79" s="81">
        <f t="shared" si="5"/>
        <v>0.32169797620475094</v>
      </c>
      <c r="G79" s="81">
        <f t="shared" si="6"/>
        <v>0.33660571299145969</v>
      </c>
      <c r="H79" s="81">
        <f t="shared" si="7"/>
        <v>0.35151344977816845</v>
      </c>
      <c r="I79" s="81">
        <f t="shared" si="8"/>
        <v>0.36642118656487721</v>
      </c>
      <c r="J79" s="81">
        <f t="shared" si="9"/>
        <v>0.38132892335158608</v>
      </c>
      <c r="K79" s="81">
        <f t="shared" si="10"/>
        <v>0.39623666013829473</v>
      </c>
      <c r="L79" s="81">
        <f t="shared" si="11"/>
        <v>0.4111443969250036</v>
      </c>
      <c r="M79" s="81">
        <f t="shared" si="12"/>
        <v>0.42605213371171236</v>
      </c>
      <c r="N79" s="81">
        <f t="shared" si="13"/>
        <v>0.44095987049842111</v>
      </c>
    </row>
    <row r="80" spans="1:16" ht="15.75" customHeight="1">
      <c r="A80" s="78">
        <f t="shared" si="0"/>
        <v>7000</v>
      </c>
      <c r="B80" s="80">
        <f t="shared" si="1"/>
        <v>0.25255662839099402</v>
      </c>
      <c r="C80" s="80">
        <f t="shared" si="2"/>
        <v>0.2749799295392642</v>
      </c>
      <c r="D80" s="80">
        <f t="shared" si="3"/>
        <v>0.28992879697144436</v>
      </c>
      <c r="E80" s="80">
        <f t="shared" si="4"/>
        <v>0.3048776644036244</v>
      </c>
      <c r="F80" s="80">
        <f t="shared" si="5"/>
        <v>0.31982653183580445</v>
      </c>
      <c r="G80" s="80">
        <f t="shared" si="6"/>
        <v>0.33477539926798472</v>
      </c>
      <c r="H80" s="80">
        <f t="shared" si="7"/>
        <v>0.34972426670016477</v>
      </c>
      <c r="I80" s="80">
        <f t="shared" si="8"/>
        <v>0.36467313413234492</v>
      </c>
      <c r="J80" s="80">
        <f t="shared" si="9"/>
        <v>0.37962200156452497</v>
      </c>
      <c r="K80" s="80">
        <f t="shared" si="10"/>
        <v>0.39457086899670513</v>
      </c>
      <c r="L80" s="80">
        <f t="shared" si="11"/>
        <v>0.40951973642888528</v>
      </c>
      <c r="M80" s="80">
        <f t="shared" si="12"/>
        <v>0.42446860386106533</v>
      </c>
      <c r="N80" s="80">
        <f t="shared" si="13"/>
        <v>0.43941747129324549</v>
      </c>
    </row>
    <row r="81" spans="1:14" ht="15.75" customHeight="1">
      <c r="A81" s="79">
        <f t="shared" si="0"/>
        <v>8000</v>
      </c>
      <c r="B81" s="81">
        <f t="shared" si="1"/>
        <v>0.25665993844678026</v>
      </c>
      <c r="C81" s="81">
        <f t="shared" si="2"/>
        <v>0.2789601402933769</v>
      </c>
      <c r="D81" s="81">
        <f t="shared" si="3"/>
        <v>0.29382694152444122</v>
      </c>
      <c r="E81" s="81">
        <f t="shared" si="4"/>
        <v>0.30869374275550576</v>
      </c>
      <c r="F81" s="81">
        <f t="shared" si="5"/>
        <v>0.32356054398656997</v>
      </c>
      <c r="G81" s="81">
        <f t="shared" si="6"/>
        <v>0.3384273452176344</v>
      </c>
      <c r="H81" s="81">
        <f t="shared" si="7"/>
        <v>0.35329414644869883</v>
      </c>
      <c r="I81" s="81">
        <f t="shared" si="8"/>
        <v>0.36816094767976326</v>
      </c>
      <c r="J81" s="81">
        <f t="shared" si="9"/>
        <v>0.38302774891082758</v>
      </c>
      <c r="K81" s="81">
        <f t="shared" si="10"/>
        <v>0.39789455014189201</v>
      </c>
      <c r="L81" s="81">
        <f t="shared" si="11"/>
        <v>0.41276135137295633</v>
      </c>
      <c r="M81" s="81">
        <f t="shared" si="12"/>
        <v>0.42762815260402076</v>
      </c>
      <c r="N81" s="81">
        <f t="shared" si="13"/>
        <v>0.44249495383508519</v>
      </c>
    </row>
    <row r="82" spans="1:14" ht="15.75" customHeight="1">
      <c r="A82" s="78">
        <f t="shared" si="0"/>
        <v>9000</v>
      </c>
      <c r="B82" s="80">
        <f t="shared" si="1"/>
        <v>0.25472418739535707</v>
      </c>
      <c r="C82" s="80">
        <f t="shared" si="2"/>
        <v>0.27708246177349638</v>
      </c>
      <c r="D82" s="80">
        <f t="shared" si="3"/>
        <v>0.29198797802558929</v>
      </c>
      <c r="E82" s="80">
        <f t="shared" si="4"/>
        <v>0.30689349427768209</v>
      </c>
      <c r="F82" s="80">
        <f t="shared" si="5"/>
        <v>0.32179901052977489</v>
      </c>
      <c r="G82" s="80">
        <f t="shared" si="6"/>
        <v>0.3367045267818678</v>
      </c>
      <c r="H82" s="80">
        <f t="shared" si="7"/>
        <v>0.3516100430339606</v>
      </c>
      <c r="I82" s="80">
        <f t="shared" si="8"/>
        <v>0.3665155592860535</v>
      </c>
      <c r="J82" s="80">
        <f t="shared" si="9"/>
        <v>0.38142107553814641</v>
      </c>
      <c r="K82" s="80">
        <f t="shared" si="10"/>
        <v>0.39632659179023921</v>
      </c>
      <c r="L82" s="80">
        <f t="shared" si="11"/>
        <v>0.41123210804233212</v>
      </c>
      <c r="M82" s="80">
        <f t="shared" si="12"/>
        <v>0.42613762429442492</v>
      </c>
      <c r="N82" s="80">
        <f t="shared" si="13"/>
        <v>0.44104314054651783</v>
      </c>
    </row>
    <row r="83" spans="1:14" ht="15.75" customHeight="1">
      <c r="A83" s="79">
        <f t="shared" si="0"/>
        <v>10000</v>
      </c>
      <c r="B83" s="81">
        <f t="shared" si="1"/>
        <v>0.31282825052959728</v>
      </c>
      <c r="C83" s="81">
        <f t="shared" si="2"/>
        <v>0.33344340301370945</v>
      </c>
      <c r="D83" s="81">
        <f t="shared" si="3"/>
        <v>0.34718683800311745</v>
      </c>
      <c r="E83" s="81">
        <f t="shared" si="4"/>
        <v>0.36093027299252556</v>
      </c>
      <c r="F83" s="81">
        <f t="shared" si="5"/>
        <v>0.37467370798193356</v>
      </c>
      <c r="G83" s="81">
        <f t="shared" si="6"/>
        <v>0.38841714297134156</v>
      </c>
      <c r="H83" s="81">
        <f t="shared" si="7"/>
        <v>0.40216057796074967</v>
      </c>
      <c r="I83" s="81">
        <f t="shared" si="8"/>
        <v>0.41590401295015778</v>
      </c>
      <c r="J83" s="81">
        <f t="shared" si="9"/>
        <v>0.42964744793956589</v>
      </c>
      <c r="K83" s="81">
        <f t="shared" si="10"/>
        <v>0.44339088292897377</v>
      </c>
      <c r="L83" s="81">
        <f t="shared" si="11"/>
        <v>0.45713431791838188</v>
      </c>
      <c r="M83" s="81">
        <f t="shared" si="12"/>
        <v>0.47087775290778988</v>
      </c>
      <c r="N83" s="81">
        <f t="shared" si="13"/>
        <v>0.48462118789719799</v>
      </c>
    </row>
    <row r="84" spans="1:14" ht="15.75" customHeight="1">
      <c r="A84" s="78">
        <f t="shared" si="0"/>
        <v>11000</v>
      </c>
      <c r="B84" s="80">
        <f t="shared" si="1"/>
        <v>0.3010548346892723</v>
      </c>
      <c r="C84" s="80">
        <f t="shared" si="2"/>
        <v>0.32202318964859422</v>
      </c>
      <c r="D84" s="80">
        <f t="shared" si="3"/>
        <v>0.33600209295480876</v>
      </c>
      <c r="E84" s="80">
        <f t="shared" si="4"/>
        <v>0.3499809962610233</v>
      </c>
      <c r="F84" s="80">
        <f t="shared" si="5"/>
        <v>0.36395989956723784</v>
      </c>
      <c r="G84" s="80">
        <f t="shared" si="6"/>
        <v>0.37793880287345238</v>
      </c>
      <c r="H84" s="80">
        <f t="shared" si="7"/>
        <v>0.39191770617966692</v>
      </c>
      <c r="I84" s="80">
        <f t="shared" si="8"/>
        <v>0.40589660948588147</v>
      </c>
      <c r="J84" s="80">
        <f t="shared" si="9"/>
        <v>0.41987551279209612</v>
      </c>
      <c r="K84" s="80">
        <f t="shared" si="10"/>
        <v>0.43385441609831055</v>
      </c>
      <c r="L84" s="80">
        <f t="shared" si="11"/>
        <v>0.44783331940452509</v>
      </c>
      <c r="M84" s="80">
        <f t="shared" si="12"/>
        <v>0.46181222271073963</v>
      </c>
      <c r="N84" s="80">
        <f t="shared" si="13"/>
        <v>0.47579112601695428</v>
      </c>
    </row>
    <row r="85" spans="1:14" ht="15.75" customHeight="1">
      <c r="A85" s="79">
        <f t="shared" si="0"/>
        <v>12000</v>
      </c>
      <c r="B85" s="81">
        <f t="shared" si="1"/>
        <v>0.30094794622753362</v>
      </c>
      <c r="C85" s="81">
        <f t="shared" si="2"/>
        <v>0.32191950784070755</v>
      </c>
      <c r="D85" s="81">
        <f t="shared" si="3"/>
        <v>0.33590054891615695</v>
      </c>
      <c r="E85" s="81">
        <f t="shared" si="4"/>
        <v>0.34988158999160623</v>
      </c>
      <c r="F85" s="81">
        <f t="shared" si="5"/>
        <v>0.36386263106705552</v>
      </c>
      <c r="G85" s="81">
        <f t="shared" si="6"/>
        <v>0.37784367214250492</v>
      </c>
      <c r="H85" s="81">
        <f t="shared" si="7"/>
        <v>0.3918247132179542</v>
      </c>
      <c r="I85" s="81">
        <f t="shared" si="8"/>
        <v>0.4058057542934036</v>
      </c>
      <c r="J85" s="81">
        <f t="shared" si="9"/>
        <v>0.41978679536885288</v>
      </c>
      <c r="K85" s="81">
        <f t="shared" si="10"/>
        <v>0.43376783644430217</v>
      </c>
      <c r="L85" s="81">
        <f t="shared" si="11"/>
        <v>0.44774887751975156</v>
      </c>
      <c r="M85" s="81">
        <f t="shared" si="12"/>
        <v>0.46172991859520085</v>
      </c>
      <c r="N85" s="81">
        <f t="shared" si="13"/>
        <v>0.47571095967065025</v>
      </c>
    </row>
    <row r="86" spans="1:14" ht="15.75" customHeight="1">
      <c r="A86" s="78">
        <f t="shared" si="0"/>
        <v>13000</v>
      </c>
      <c r="B86" s="80">
        <f t="shared" si="1"/>
        <v>0.29197502206015724</v>
      </c>
      <c r="C86" s="80">
        <f t="shared" si="2"/>
        <v>0.31321577139835244</v>
      </c>
      <c r="D86" s="80">
        <f t="shared" si="3"/>
        <v>0.32737627095714938</v>
      </c>
      <c r="E86" s="80">
        <f t="shared" si="4"/>
        <v>0.34153677051594622</v>
      </c>
      <c r="F86" s="80">
        <f t="shared" si="5"/>
        <v>0.35569727007474305</v>
      </c>
      <c r="G86" s="80">
        <f t="shared" si="6"/>
        <v>0.36985776963353989</v>
      </c>
      <c r="H86" s="80">
        <f t="shared" si="7"/>
        <v>0.38401826919233673</v>
      </c>
      <c r="I86" s="80">
        <f t="shared" si="8"/>
        <v>0.39817876875113367</v>
      </c>
      <c r="J86" s="80">
        <f t="shared" si="9"/>
        <v>0.41233926830993051</v>
      </c>
      <c r="K86" s="80">
        <f t="shared" si="10"/>
        <v>0.42649976786872723</v>
      </c>
      <c r="L86" s="80">
        <f t="shared" si="11"/>
        <v>0.44066026742752418</v>
      </c>
      <c r="M86" s="80">
        <f t="shared" si="12"/>
        <v>0.45482076698632101</v>
      </c>
      <c r="N86" s="80">
        <f t="shared" si="13"/>
        <v>0.46898126654511796</v>
      </c>
    </row>
    <row r="87" spans="1:14" ht="15.75" customHeight="1">
      <c r="A87" s="79">
        <f t="shared" si="0"/>
        <v>14000</v>
      </c>
      <c r="B87" s="81">
        <f t="shared" si="1"/>
        <v>0.29246201458320242</v>
      </c>
      <c r="C87" s="81">
        <f t="shared" si="2"/>
        <v>0.31368815414570639</v>
      </c>
      <c r="D87" s="81">
        <f t="shared" si="3"/>
        <v>0.32783891385404229</v>
      </c>
      <c r="E87" s="81">
        <f t="shared" si="4"/>
        <v>0.34198967356237819</v>
      </c>
      <c r="F87" s="81">
        <f t="shared" si="5"/>
        <v>0.3561404332707141</v>
      </c>
      <c r="G87" s="81">
        <f t="shared" si="6"/>
        <v>0.37029119297905011</v>
      </c>
      <c r="H87" s="81">
        <f t="shared" si="7"/>
        <v>0.38444195268738601</v>
      </c>
      <c r="I87" s="81">
        <f t="shared" si="8"/>
        <v>0.39859271239572203</v>
      </c>
      <c r="J87" s="81">
        <f t="shared" si="9"/>
        <v>0.41274347210405804</v>
      </c>
      <c r="K87" s="81">
        <f t="shared" si="10"/>
        <v>0.42689423181239394</v>
      </c>
      <c r="L87" s="81">
        <f t="shared" si="11"/>
        <v>0.44104499152072985</v>
      </c>
      <c r="M87" s="81">
        <f t="shared" si="12"/>
        <v>0.45519575122906586</v>
      </c>
      <c r="N87" s="81">
        <f t="shared" si="13"/>
        <v>0.46934651093740176</v>
      </c>
    </row>
    <row r="88" spans="1:14" ht="15.75" customHeight="1">
      <c r="A88" s="78">
        <f t="shared" si="0"/>
        <v>15000</v>
      </c>
      <c r="B88" s="80">
        <f t="shared" si="1"/>
        <v>0.29294935848754933</v>
      </c>
      <c r="C88" s="80">
        <f t="shared" si="2"/>
        <v>0.31416087773292278</v>
      </c>
      <c r="D88" s="80">
        <f t="shared" si="3"/>
        <v>0.32830189056317183</v>
      </c>
      <c r="E88" s="80">
        <f t="shared" si="4"/>
        <v>0.34244290339342087</v>
      </c>
      <c r="F88" s="80">
        <f t="shared" si="5"/>
        <v>0.35658391622366992</v>
      </c>
      <c r="G88" s="80">
        <f t="shared" si="6"/>
        <v>0.37072492905391885</v>
      </c>
      <c r="H88" s="80">
        <f t="shared" si="7"/>
        <v>0.38486594188416789</v>
      </c>
      <c r="I88" s="80">
        <f t="shared" si="8"/>
        <v>0.39900695471441694</v>
      </c>
      <c r="J88" s="80">
        <f t="shared" si="9"/>
        <v>0.41314796754466598</v>
      </c>
      <c r="K88" s="80">
        <f t="shared" si="10"/>
        <v>0.42728898037491492</v>
      </c>
      <c r="L88" s="80">
        <f t="shared" si="11"/>
        <v>0.44142999320516385</v>
      </c>
      <c r="M88" s="80">
        <f t="shared" si="12"/>
        <v>0.4555710060354129</v>
      </c>
      <c r="N88" s="80">
        <f t="shared" si="13"/>
        <v>0.46971201886566194</v>
      </c>
    </row>
    <row r="89" spans="1:14" ht="15.75" customHeight="1">
      <c r="A89" s="79">
        <f t="shared" si="0"/>
        <v>16000</v>
      </c>
      <c r="B89" s="81">
        <f t="shared" si="1"/>
        <v>0.29619863903433363</v>
      </c>
      <c r="C89" s="81">
        <f t="shared" si="2"/>
        <v>0.31731267986330358</v>
      </c>
      <c r="D89" s="81">
        <f t="shared" si="3"/>
        <v>0.33138870708261703</v>
      </c>
      <c r="E89" s="81">
        <f t="shared" si="4"/>
        <v>0.34546473430193037</v>
      </c>
      <c r="F89" s="81">
        <f t="shared" si="5"/>
        <v>0.35954076152124359</v>
      </c>
      <c r="G89" s="81">
        <f t="shared" si="6"/>
        <v>0.37361678874055693</v>
      </c>
      <c r="H89" s="81">
        <f t="shared" si="7"/>
        <v>0.38769281595987026</v>
      </c>
      <c r="I89" s="81">
        <f t="shared" si="8"/>
        <v>0.4017688431791836</v>
      </c>
      <c r="J89" s="81">
        <f t="shared" si="9"/>
        <v>0.41584487039849694</v>
      </c>
      <c r="K89" s="81">
        <f t="shared" si="10"/>
        <v>0.42992089761781016</v>
      </c>
      <c r="L89" s="81">
        <f t="shared" si="11"/>
        <v>0.4439969248371235</v>
      </c>
      <c r="M89" s="81">
        <f t="shared" si="12"/>
        <v>0.45807295205643683</v>
      </c>
      <c r="N89" s="81">
        <f t="shared" si="13"/>
        <v>0.47214897927575028</v>
      </c>
    </row>
    <row r="90" spans="1:14" ht="15.75" customHeight="1">
      <c r="A90" s="78">
        <f t="shared" si="0"/>
        <v>17000</v>
      </c>
      <c r="B90" s="80">
        <f t="shared" si="1"/>
        <v>0.29635124364306642</v>
      </c>
      <c r="C90" s="80">
        <f t="shared" si="2"/>
        <v>0.31746070633377443</v>
      </c>
      <c r="D90" s="80">
        <f t="shared" si="3"/>
        <v>0.33153368146091311</v>
      </c>
      <c r="E90" s="80">
        <f t="shared" si="4"/>
        <v>0.34560665658805179</v>
      </c>
      <c r="F90" s="80">
        <f t="shared" si="5"/>
        <v>0.35967963171519035</v>
      </c>
      <c r="G90" s="80">
        <f t="shared" si="6"/>
        <v>0.37375260684232903</v>
      </c>
      <c r="H90" s="80">
        <f t="shared" si="7"/>
        <v>0.38782558196946781</v>
      </c>
      <c r="I90" s="80">
        <f t="shared" si="8"/>
        <v>0.40189855709660649</v>
      </c>
      <c r="J90" s="80">
        <f t="shared" si="9"/>
        <v>0.41597153222374517</v>
      </c>
      <c r="K90" s="80">
        <f t="shared" si="10"/>
        <v>0.43004450735088373</v>
      </c>
      <c r="L90" s="80">
        <f t="shared" si="11"/>
        <v>0.44411748247802241</v>
      </c>
      <c r="M90" s="80">
        <f t="shared" si="12"/>
        <v>0.45819045760516108</v>
      </c>
      <c r="N90" s="80">
        <f t="shared" si="13"/>
        <v>0.47226343273229976</v>
      </c>
    </row>
    <row r="91" spans="1:14" ht="15.75" customHeight="1">
      <c r="A91" s="79">
        <f t="shared" si="0"/>
        <v>18000</v>
      </c>
      <c r="B91" s="81">
        <f t="shared" si="1"/>
        <v>0.29654129528225193</v>
      </c>
      <c r="C91" s="81">
        <f t="shared" si="2"/>
        <v>0.31764505642378438</v>
      </c>
      <c r="D91" s="81">
        <f t="shared" si="3"/>
        <v>0.33171423051813942</v>
      </c>
      <c r="E91" s="81">
        <f t="shared" si="4"/>
        <v>0.34578340461249435</v>
      </c>
      <c r="F91" s="81">
        <f t="shared" si="5"/>
        <v>0.35985257870684928</v>
      </c>
      <c r="G91" s="81">
        <f t="shared" si="6"/>
        <v>0.37392175280120421</v>
      </c>
      <c r="H91" s="81">
        <f t="shared" si="7"/>
        <v>0.38799092689555914</v>
      </c>
      <c r="I91" s="81">
        <f t="shared" si="8"/>
        <v>0.40206010098991418</v>
      </c>
      <c r="J91" s="81">
        <f t="shared" si="9"/>
        <v>0.41612927508426922</v>
      </c>
      <c r="K91" s="81">
        <f t="shared" si="10"/>
        <v>0.43019844917862404</v>
      </c>
      <c r="L91" s="81">
        <f t="shared" si="11"/>
        <v>0.44426762327297897</v>
      </c>
      <c r="M91" s="81">
        <f t="shared" si="12"/>
        <v>0.45833679736733401</v>
      </c>
      <c r="N91" s="81">
        <f t="shared" si="13"/>
        <v>0.47240597146168894</v>
      </c>
    </row>
    <row r="92" spans="1:14" ht="15.75" customHeight="1">
      <c r="A92" s="78">
        <f t="shared" si="0"/>
        <v>19000</v>
      </c>
      <c r="B92" s="80">
        <f t="shared" si="1"/>
        <v>0.29908848222719142</v>
      </c>
      <c r="C92" s="80">
        <f t="shared" si="2"/>
        <v>0.32011582776037573</v>
      </c>
      <c r="D92" s="80">
        <f t="shared" si="3"/>
        <v>0.33413405811583186</v>
      </c>
      <c r="E92" s="80">
        <f t="shared" si="4"/>
        <v>0.3481522884712881</v>
      </c>
      <c r="F92" s="80">
        <f t="shared" si="5"/>
        <v>0.36217051882674423</v>
      </c>
      <c r="G92" s="80">
        <f t="shared" si="6"/>
        <v>0.37618874918220035</v>
      </c>
      <c r="H92" s="80">
        <f t="shared" si="7"/>
        <v>0.3902069795376566</v>
      </c>
      <c r="I92" s="80">
        <f t="shared" si="8"/>
        <v>0.40422520989311272</v>
      </c>
      <c r="J92" s="80">
        <f t="shared" si="9"/>
        <v>0.41824344024856885</v>
      </c>
      <c r="K92" s="80">
        <f t="shared" si="10"/>
        <v>0.43226167060402498</v>
      </c>
      <c r="L92" s="80">
        <f t="shared" si="11"/>
        <v>0.44627990095948122</v>
      </c>
      <c r="M92" s="80">
        <f t="shared" si="12"/>
        <v>0.46029813131493735</v>
      </c>
      <c r="N92" s="80">
        <f t="shared" si="13"/>
        <v>0.47431636167039359</v>
      </c>
    </row>
    <row r="93" spans="1:14" ht="15.75" customHeight="1">
      <c r="A93" s="79">
        <f t="shared" si="0"/>
        <v>20000</v>
      </c>
      <c r="B93" s="81">
        <f t="shared" si="1"/>
        <v>0.31905851552819842</v>
      </c>
      <c r="C93" s="81">
        <f t="shared" si="2"/>
        <v>0.33948676006235257</v>
      </c>
      <c r="D93" s="81">
        <f t="shared" si="3"/>
        <v>0.35310558975178863</v>
      </c>
      <c r="E93" s="81">
        <f t="shared" si="4"/>
        <v>0.36672441944122458</v>
      </c>
      <c r="F93" s="81">
        <f t="shared" si="5"/>
        <v>0.38034324913066064</v>
      </c>
      <c r="G93" s="81">
        <f t="shared" si="6"/>
        <v>0.3939620788200966</v>
      </c>
      <c r="H93" s="81">
        <f t="shared" si="7"/>
        <v>0.40758090850953266</v>
      </c>
      <c r="I93" s="81">
        <f t="shared" si="8"/>
        <v>0.42119973819896872</v>
      </c>
      <c r="J93" s="81">
        <f t="shared" si="9"/>
        <v>0.43481856788840478</v>
      </c>
      <c r="K93" s="81">
        <f t="shared" si="10"/>
        <v>0.44843739757784074</v>
      </c>
      <c r="L93" s="81">
        <f t="shared" si="11"/>
        <v>0.4620562272672768</v>
      </c>
      <c r="M93" s="81">
        <f t="shared" si="12"/>
        <v>0.47567505695671286</v>
      </c>
      <c r="N93" s="81">
        <f t="shared" si="13"/>
        <v>0.48929388664614881</v>
      </c>
    </row>
    <row r="94" spans="1:14" ht="15.75" customHeight="1"/>
    <row r="95" spans="1:14" ht="15.75" customHeight="1"/>
    <row r="96" spans="1:14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conditionalFormatting sqref="B74:N93">
    <cfRule type="colorScale" priority="1">
      <colorScale>
        <cfvo type="min"/>
        <cfvo type="max"/>
        <color rgb="FFFCFCFF"/>
        <color rgb="FF63BE7B"/>
      </colorScale>
    </cfRule>
    <cfRule type="colorScale" priority="3">
      <colorScale>
        <cfvo type="min"/>
        <cfvo type="percentile" val="50"/>
        <cfvo type="max"/>
        <color rgb="FFFFFFFF"/>
        <color rgb="FF92D050"/>
        <color rgb="FF006100"/>
      </colorScale>
    </cfRule>
  </conditionalFormatting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Premissas</vt:lpstr>
      <vt:lpstr>Descontos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Paulo Reis</cp:lastModifiedBy>
  <dcterms:modified xsi:type="dcterms:W3CDTF">2026-03-12T16:21:10Z</dcterms:modified>
</cp:coreProperties>
</file>